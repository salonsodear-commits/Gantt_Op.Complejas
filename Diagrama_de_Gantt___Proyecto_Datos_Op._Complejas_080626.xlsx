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<sst xmlns="http://schemas.openxmlformats.org/spreadsheetml/2006/main" count="363" uniqueCount="145">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</sst>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7">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7">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0"/>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s">
        <v>101</v>
      </c>
      <c r="D8" s="134" t="s">
        <v>107</v>
      </c>
      <c r="E8" s="135">
        <v>1</v>
      </c>
      <c r="F8" s="136">
        <v>46203</v>
      </c>
      <c r="G8" s="74" t="s">
        <v>88</v>
      </c>
      <c r="H8" s="151"/>
      <c r="I8" s="163" t="s">
        <v>89</v>
      </c>
      <c r="J8" s="71">
        <v>0.2</v>
      </c>
      <c r="K8" s="65">
        <f>Inicio_del_proyecto</f>
        <v>45958</v>
      </c>
      <c r="L8" s="76">
        <f>IF(F8="",WORKDAY(L7,5),F8)</f>
        <v>46203</v>
      </c>
      <c r="M8" s="66"/>
      <c r="N8" s="67">
        <f t="shared" ref="N8:N55"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0.9</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s">
        <v>131</v>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s">
        <v>103</v>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s">
        <v>102</v>
      </c>
      <c r="D15" s="134" t="str">
        <f t="shared" si="5"/>
        <v>Quincenal</v>
      </c>
      <c r="E15" s="135">
        <v>1</v>
      </c>
      <c r="F15" s="136">
        <v>46192</v>
      </c>
      <c r="G15" s="74" t="s">
        <v>110</v>
      </c>
      <c r="H15" s="143"/>
      <c r="I15" s="164" t="s">
        <v>36</v>
      </c>
      <c r="J15" s="75">
        <v>0.65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s">
        <v>104</v>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s">
        <v>123</v>
      </c>
      <c r="D19" s="134" t="str">
        <f t="shared" si="5"/>
        <v>Quincenal</v>
      </c>
      <c r="E19" s="135">
        <v>1</v>
      </c>
      <c r="F19" s="136">
        <v>46192</v>
      </c>
      <c r="G19" s="70" t="s">
        <v>122</v>
      </c>
      <c r="H19" s="144"/>
      <c r="I19" s="163" t="s">
        <v>36</v>
      </c>
      <c r="J19" s="71">
        <v>0</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46185</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46185</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46185</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46185</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+AVERAGE(J39:J49)</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46185</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46185</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46185</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46185</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+AVERAGE(J46:J56)</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s">
        <v>117</v>
      </c>
      <c r="D37" s="134" t="s">
        <v>111</v>
      </c>
      <c r="E37" s="135">
        <v>1</v>
      </c>
      <c r="F37" s="136">
        <v>46185</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46185</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46185</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46185</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46185</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46185</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46185</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46185</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thickBot="1" x14ac:dyDescent="0.4">
      <c r="A48" s="14" t="s">
        <v>11</v>
      </c>
      <c r="G48" s="59" t="s">
        <v>138</v>
      </c>
      <c r="H48" s="138">
        <v>0.25</v>
      </c>
      <c r="I48" s="162"/>
      <c r="J48" s="60">
        <f>+AVERAGE(J49:J51)</f>
        <v>0.13333333333333333</v>
      </c>
      <c r="K48" s="63" t="str">
        <f>+$K$7</f>
        <v>Días Transcurridos=</v>
      </c>
      <c r="L48" s="61">
        <f ca="1">+TODAY()-MIN($K$49:$K$51)-139</f>
        <v>84</v>
      </c>
      <c r="M48" s="62"/>
      <c r="N48" s="69"/>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c r="BE48" s="53"/>
      <c r="BF48" s="53"/>
      <c r="BG48" s="53"/>
      <c r="BH48" s="53"/>
      <c r="BI48" s="53"/>
      <c r="BJ48" s="53"/>
      <c r="BK48" s="53"/>
      <c r="BL48" s="53"/>
      <c r="BM48" s="53"/>
      <c r="BN48" s="53"/>
      <c r="BO48" s="53"/>
      <c r="BP48" s="53"/>
      <c r="BQ48" s="53"/>
      <c r="BR48" s="53"/>
    </row>
    <row r="49" spans="1:70" ht="25" customHeight="1" thickBot="1" x14ac:dyDescent="0.4">
      <c r="D49" s="134" t="s">
        <v>107</v>
      </c>
      <c r="E49" s="135"/>
      <c r="F49" s="136"/>
      <c r="G49" s="74" t="s">
        <v>92</v>
      </c>
      <c r="H49" s="143"/>
      <c r="I49" s="164" t="s">
        <v>36</v>
      </c>
      <c r="J49" s="75">
        <v>0.35</v>
      </c>
      <c r="K49" s="76">
        <v>45958</v>
      </c>
      <c r="L49" s="76">
        <v>46213</v>
      </c>
      <c r="M49" s="77"/>
      <c r="N49" s="78">
        <f t="shared" si="3"/>
        <v>256</v>
      </c>
      <c r="O49" s="64"/>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row>
    <row r="50" spans="1:70" ht="25" customHeight="1" thickBot="1" x14ac:dyDescent="0.4">
      <c r="D50" s="134" t="str">
        <f>+$D$49</f>
        <v>Mensual</v>
      </c>
      <c r="E50" s="135"/>
      <c r="F50" s="136"/>
      <c r="G50" s="70" t="s">
        <v>93</v>
      </c>
      <c r="H50" s="144"/>
      <c r="I50" s="163" t="s">
        <v>36</v>
      </c>
      <c r="J50" s="71">
        <v>0.05</v>
      </c>
      <c r="K50" s="72">
        <v>46209</v>
      </c>
      <c r="L50" s="76">
        <f>IF(F50="",WORKDAY(L49,5),F50)</f>
        <v>46220</v>
      </c>
      <c r="M50" s="73"/>
      <c r="N50" s="48">
        <f t="shared" si="3"/>
        <v>12</v>
      </c>
      <c r="O50" s="68"/>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row>
    <row r="51" spans="1:70" ht="25" customHeight="1" x14ac:dyDescent="0.35">
      <c r="D51" s="134" t="str">
        <f>+$D$49</f>
        <v>Mensual</v>
      </c>
      <c r="E51" s="135"/>
      <c r="F51" s="136"/>
      <c r="G51" s="74" t="s">
        <v>94</v>
      </c>
      <c r="H51" s="145"/>
      <c r="I51" s="164" t="s">
        <v>95</v>
      </c>
      <c r="J51" s="75">
        <v>0</v>
      </c>
      <c r="K51" s="76">
        <v>46216</v>
      </c>
      <c r="L51" s="76">
        <f>IF(F51="",WORKDAY(L50,5),F51)</f>
        <v>46227</v>
      </c>
      <c r="M51" s="77"/>
      <c r="N51" s="78">
        <f t="shared" si="3"/>
        <v>12</v>
      </c>
      <c r="O51" s="83"/>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c r="BO51" s="26"/>
      <c r="BP51" s="26"/>
      <c r="BQ51" s="26"/>
      <c r="BR51" s="26"/>
    </row>
    <row r="52" spans="1:70" ht="25" customHeight="1" thickBot="1" x14ac:dyDescent="0.4">
      <c r="A52" s="14" t="s">
        <v>11</v>
      </c>
      <c r="G52" s="59" t="s">
        <v>139</v>
      </c>
      <c r="H52" s="138">
        <v>0.1</v>
      </c>
      <c r="I52" s="162"/>
      <c r="J52" s="60">
        <f>+AVERAGE(J53:J55)</f>
        <v>3.3333333333333333E-2</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44" thickBot="1" x14ac:dyDescent="0.4">
      <c r="D53" s="134" t="s">
        <v>107</v>
      </c>
      <c r="E53" s="135"/>
      <c r="F53" s="136"/>
      <c r="G53" s="74" t="s">
        <v>59</v>
      </c>
      <c r="H53" s="141"/>
      <c r="I53" s="164" t="s">
        <v>96</v>
      </c>
      <c r="J53" s="75">
        <v>0.1</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44" thickBot="1" x14ac:dyDescent="0.4">
      <c r="D54" s="134" t="str">
        <f>+$D$53</f>
        <v>Mensual</v>
      </c>
      <c r="E54" s="135"/>
      <c r="F54" s="136"/>
      <c r="G54" s="70" t="s">
        <v>97</v>
      </c>
      <c r="H54" s="140"/>
      <c r="I54" s="163" t="s">
        <v>96</v>
      </c>
      <c r="J54" s="71">
        <v>0</v>
      </c>
      <c r="K54" s="72">
        <v>46216</v>
      </c>
      <c r="L54" s="76">
        <f>IF(F54="",WORKDAY(L53,5),F54)</f>
        <v>46220</v>
      </c>
      <c r="M54" s="73"/>
      <c r="N54" s="48">
        <f t="shared" si="3"/>
        <v>5</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44" thickBot="1" x14ac:dyDescent="0.4">
      <c r="D55" s="134" t="str">
        <f>+$D$53</f>
        <v>Mensual</v>
      </c>
      <c r="E55" s="135"/>
      <c r="F55" s="136"/>
      <c r="G55" s="74" t="s">
        <v>118</v>
      </c>
      <c r="H55" s="142"/>
      <c r="I55" s="164" t="s">
        <v>96</v>
      </c>
      <c r="J55" s="75">
        <v>0</v>
      </c>
      <c r="K55" s="76">
        <v>46223</v>
      </c>
      <c r="L55" s="76">
        <f>IF(F55="",WORKDAY(L54,5),F55)</f>
        <v>46227</v>
      </c>
      <c r="M55" s="77"/>
      <c r="N55" s="78">
        <f t="shared" si="3"/>
        <v>5</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30" customHeight="1" x14ac:dyDescent="0.35">
      <c r="G56" s="124"/>
      <c r="H56" s="127">
        <f>+SUBTOTAL(9,H7:H55)</f>
        <v>0.99999999999999989</v>
      </c>
      <c r="I56" s="165"/>
      <c r="J56" s="125"/>
      <c r="K56" s="125"/>
      <c r="L56" s="125"/>
      <c r="M56" s="126"/>
      <c r="N56" s="125"/>
    </row>
    <row r="57" spans="1:70" ht="30" customHeight="1" x14ac:dyDescent="0.35">
      <c r="I57" s="166"/>
      <c r="L57" s="15"/>
    </row>
    <row r="58" spans="1:70" ht="30" customHeight="1" x14ac:dyDescent="0.35">
      <c r="I58" s="167"/>
    </row>
    <row r="79" spans="7:7" ht="30" customHeight="1" x14ac:dyDescent="0.35">
      <c r="G79" s="16" t="s">
        <v>73</v>
      </c>
    </row>
    <row r="80" spans="7:7" ht="30" customHeight="1" x14ac:dyDescent="0.35">
      <c r="G80"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47"/>
    <mergeCell ref="H48:H51"/>
    <mergeCell ref="H52:H55"/>
    <mergeCell ref="H9:H21"/>
  </mergeCells>
  <conditionalFormatting sqref="J7:J55">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49:BR51 O53:BR55 O5:BR6 O23:BR26">
    <cfRule type="expression" dxfId="11" priority="13">
      <formula>AND(TODAY()&gt;=M$5,TODAY()&lt;N$5)</formula>
    </cfRule>
  </conditionalFormatting>
  <conditionalFormatting sqref="M8:BR8 O10:BR21 O37:BR47 O49:BR51 O53:BR55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4"/>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3">
        <f>'Proyecto Datos (OKR´s)'!$G$7</f>
      </c>
      <c r="C10" s="203"/>
      <c r="D10" s="203"/>
      <c r="E10" s="203"/>
      <c r="F10" s="203"/>
      <c r="G10" s="178">
        <f>COUNTIF('_Datos'!$D$7:$D$200,$B10)</f>
      </c>
      <c r="H10" s="180">
        <f>IFERROR(AVERAGEIF('_Datos'!$D$7:$D$200,$B10,'_Datos'!$I$7:$I$200),"")</f>
      </c>
      <c r="I10" s="180">
        <f>IFERROR(AVERAGEIF('_Datos'!$D$7:$D$200,$B10,'_Datos'!$I$7:$I$200),"")</f>
      </c>
    </row>
    <row r="11">
      <c r="B11" s="203">
        <f>'Proyecto Datos (OKR´s)'!$G$9</f>
      </c>
      <c r="C11" s="203"/>
      <c r="D11" s="203"/>
      <c r="E11" s="203"/>
      <c r="F11" s="203"/>
      <c r="G11" s="178">
        <f>COUNTIF('_Datos'!$D$7:$D$200,$B11)</f>
      </c>
      <c r="H11" s="180">
        <f>IFERROR(AVERAGEIF('_Datos'!$D$7:$D$200,$B11,'_Datos'!$I$7:$I$200),"")</f>
      </c>
      <c r="I11" s="180">
        <f>IFERROR(AVERAGEIF('_Datos'!$D$7:$D$200,$B11,'_Datos'!$I$7:$I$200),"")</f>
      </c>
    </row>
    <row r="12">
      <c r="B12" s="203">
        <f>'Proyecto Datos (OKR´s)'!$G$22</f>
      </c>
      <c r="C12" s="203"/>
      <c r="D12" s="203"/>
      <c r="E12" s="203"/>
      <c r="F12" s="203"/>
      <c r="G12" s="178">
        <f>COUNTIF('_Datos'!$D$7:$D$200,$B12)</f>
      </c>
      <c r="H12" s="180">
        <f>IFERROR(AVERAGEIF('_Datos'!$D$7:$D$200,$B12,'_Datos'!$I$7:$I$200),"")</f>
      </c>
      <c r="I12" s="180">
        <f>IFERROR(AVERAGEIF('_Datos'!$D$7:$D$200,$B12,'_Datos'!$I$7:$I$200),"")</f>
      </c>
    </row>
    <row r="13">
      <c r="B13" s="203">
        <f>'Proyecto Datos (OKR´s)'!$G$27</f>
      </c>
      <c r="C13" s="203"/>
      <c r="D13" s="203"/>
      <c r="E13" s="203"/>
      <c r="F13" s="203"/>
      <c r="G13" s="178">
        <f>COUNTIF('_Datos'!$D$7:$D$200,$B13)</f>
      </c>
      <c r="H13" s="180">
        <f>IFERROR(AVERAGEIF('_Datos'!$D$7:$D$200,$B13,'_Datos'!$I$7:$I$200),"")</f>
      </c>
      <c r="I13" s="180">
        <f>IFERROR(AVERAGEIF('_Datos'!$D$7:$D$200,$B13,'_Datos'!$I$7:$I$200),"")</f>
      </c>
    </row>
    <row r="14">
      <c r="B14" s="203">
        <f>'Proyecto Datos (OKR´s)'!$G$36</f>
      </c>
      <c r="C14" s="203"/>
      <c r="D14" s="203"/>
      <c r="E14" s="203"/>
      <c r="F14" s="203"/>
      <c r="G14" s="178">
        <f>COUNTIF('_Datos'!$D$7:$D$200,$B14)</f>
      </c>
      <c r="H14" s="180">
        <f>IFERROR(AVERAGEIF('_Datos'!$D$7:$D$200,$B14,'_Datos'!$I$7:$I$200),"")</f>
      </c>
      <c r="I14" s="180">
        <f>IFERROR(AVERAGEIF('_Datos'!$D$7:$D$200,$B14,'_Datos'!$I$7:$I$200),"")</f>
      </c>
    </row>
    <row r="15">
      <c r="B15" s="203">
        <f>'Proyecto Datos (OKR´s)'!$G$48</f>
      </c>
      <c r="C15" s="203"/>
      <c r="D15" s="203"/>
      <c r="E15" s="203"/>
      <c r="F15" s="203"/>
      <c r="G15" s="178">
        <f>COUNTIF('_Datos'!$D$7:$D$200,$B15)</f>
      </c>
      <c r="H15" s="180">
        <f>IFERROR(AVERAGEIF('_Datos'!$D$7:$D$200,$B15,'_Datos'!$I$7:$I$200),"")</f>
      </c>
      <c r="I15" s="180">
        <f>IFERROR(AVERAGEIF('_Datos'!$D$7:$D$200,$B15,'_Datos'!$I$7:$I$200),"")</f>
      </c>
    </row>
    <row r="16">
      <c r="B16" s="203">
        <f>'Proyecto Datos (OKR´s)'!$G$52</f>
      </c>
      <c r="C16" s="203"/>
      <c r="D16" s="203"/>
      <c r="E16" s="203"/>
      <c r="F16" s="203"/>
      <c r="G16" s="178">
        <f>COUNTIF('_Datos'!$D$7:$D$200,$B16)</f>
      </c>
      <c r="H16" s="180">
        <f>IFERROR(AVERAGEIF('_Datos'!$D$7:$D$200,$B16,'_Datos'!$I$7:$I$200),"")</f>
      </c>
      <c r="I16" s="180">
        <f>IFERROR(AVERAGEIF('_Datos'!$D$7:$D$200,$B16,'_Datos'!$I$7:$I$200),"")</f>
      </c>
    </row>
    <row r="19">
      <c r="B19" s="172" t="inlineStr">
        <is>
          <t xml:space="preserve">AVANCE POR SPRINT</t>
        </is>
      </c>
      <c r="C19" s="172"/>
      <c r="D19" s="172"/>
      <c r="E19" s="172"/>
      <c r="F19" s="172"/>
      <c r="G19" s="172"/>
      <c r="H19" s="172"/>
      <c r="I19" s="172"/>
    </row>
    <row r="20">
      <c r="B20" s="173" t="inlineStr">
        <is>
          <t xml:space="preserve">Sprint</t>
        </is>
      </c>
      <c r="C20" s="173" t="inlineStr">
        <is>
          <t xml:space="preserve">Tareas</t>
        </is>
      </c>
      <c r="D20" s="173" t="inlineStr">
        <is>
          <t xml:space="preserve">Pendientes</t>
        </is>
      </c>
      <c r="E20" s="173" t="inlineStr">
        <is>
          <t xml:space="preserve">Vencidas</t>
        </is>
      </c>
      <c r="F20" s="173" t="inlineStr">
        <is>
          <t xml:space="preserve">Próx. a vencer</t>
        </is>
      </c>
      <c r="G20" s="173" t="inlineStr">
        <is>
          <t xml:space="preserve">Próxima entrega</t>
        </is>
      </c>
      <c r="H20" s="173" t="inlineStr">
        <is>
          <t xml:space="preserve">% Avance</t>
        </is>
      </c>
    </row>
    <row r="21">
      <c r="B21" s="202">
        <f>IF($K21="","",IF($K21=9999,"(Sin sprint)",$K21))</f>
      </c>
      <c r="C21" s="202">
        <f>IF($K21="","",COUNTIF('_Datos'!$N$7:$N$200,$K21))</f>
      </c>
      <c r="D21" s="202">
        <f>IF($K21="","",COUNTIFS('_Datos'!$N$7:$N$200,$K21,'_Datos'!$J$7:$J$200,"&lt;&gt;Completado"))</f>
      </c>
      <c r="E21" s="202">
        <f>IF($K21="","",COUNTIFS('_Datos'!$N$7:$N$200,$K21,'_Datos'!$J$7:$J$200,"Vencido"))</f>
      </c>
      <c r="F21" s="202">
        <f>IF($K21="","",COUNTIFS('_Datos'!$N$7:$N$200,$K21,'_Datos'!$J$7:$J$200,"Próximo a vencer"))</f>
      </c>
      <c r="G21" s="204">
        <f>IF($K21="","",IF($D21=0,"—",_xlfn.MINIFS('_Datos'!$H$7:$H$200,'_Datos'!$N$7:$N$200,$K21,'_Datos'!$J$7:$J$200,"&lt;&gt;Completado")))</f>
      </c>
      <c r="H21" s="205">
        <f>IF($K21="","",IFERROR(AVERAGEIF('_Datos'!$N$7:$N$200,$K21,'_Datos'!$I$7:$I$200),""))</f>
      </c>
      <c r="I21" s="202"/>
      <c r="K21" s="200">
        <f>IFERROR(SMALL('_Datos'!$Q$7:$Q$37,ROW()-21+1),"")</f>
      </c>
    </row>
    <row r="22">
      <c r="B22" s="202">
        <f>IF($K22="","",IF($K22=9999,"(Sin sprint)",$K22))</f>
      </c>
      <c r="C22" s="202">
        <f>IF($K22="","",COUNTIF('_Datos'!$N$7:$N$200,$K22))</f>
      </c>
      <c r="D22" s="202">
        <f>IF($K22="","",COUNTIFS('_Datos'!$N$7:$N$200,$K22,'_Datos'!$J$7:$J$200,"&lt;&gt;Completado"))</f>
      </c>
      <c r="E22" s="202">
        <f>IF($K22="","",COUNTIFS('_Datos'!$N$7:$N$200,$K22,'_Datos'!$J$7:$J$200,"Vencido"))</f>
      </c>
      <c r="F22" s="202">
        <f>IF($K22="","",COUNTIFS('_Datos'!$N$7:$N$200,$K22,'_Datos'!$J$7:$J$200,"Próximo a vencer"))</f>
      </c>
      <c r="G22" s="204">
        <f>IF($K22="","",IF($D22=0,"—",_xlfn.MINIFS('_Datos'!$H$7:$H$200,'_Datos'!$N$7:$N$200,$K22,'_Datos'!$J$7:$J$200,"&lt;&gt;Completado")))</f>
      </c>
      <c r="H22" s="205">
        <f>IF($K22="","",IFERROR(AVERAGEIF('_Datos'!$N$7:$N$200,$K22,'_Datos'!$I$7:$I$200),""))</f>
      </c>
      <c r="I22" s="202"/>
      <c r="K22" s="200">
        <f>IFERROR(SMALL('_Datos'!$Q$7:$Q$37,ROW()-21+1),"")</f>
      </c>
    </row>
    <row r="23">
      <c r="B23" s="202">
        <f>IF($K23="","",IF($K23=9999,"(Sin sprint)",$K23))</f>
      </c>
      <c r="C23" s="202">
        <f>IF($K23="","",COUNTIF('_Datos'!$N$7:$N$200,$K23))</f>
      </c>
      <c r="D23" s="202">
        <f>IF($K23="","",COUNTIFS('_Datos'!$N$7:$N$200,$K23,'_Datos'!$J$7:$J$200,"&lt;&gt;Completado"))</f>
      </c>
      <c r="E23" s="202">
        <f>IF($K23="","",COUNTIFS('_Datos'!$N$7:$N$200,$K23,'_Datos'!$J$7:$J$200,"Vencido"))</f>
      </c>
      <c r="F23" s="202">
        <f>IF($K23="","",COUNTIFS('_Datos'!$N$7:$N$200,$K23,'_Datos'!$J$7:$J$200,"Próximo a vencer"))</f>
      </c>
      <c r="G23" s="204">
        <f>IF($K23="","",IF($D23=0,"—",_xlfn.MINIFS('_Datos'!$H$7:$H$200,'_Datos'!$N$7:$N$200,$K23,'_Datos'!$J$7:$J$200,"&lt;&gt;Completado")))</f>
      </c>
      <c r="H23" s="205">
        <f>IF($K23="","",IFERROR(AVERAGEIF('_Datos'!$N$7:$N$200,$K23,'_Datos'!$I$7:$I$200),""))</f>
      </c>
      <c r="I23" s="202"/>
      <c r="K23" s="200">
        <f>IFERROR(SMALL('_Datos'!$Q$7:$Q$37,ROW()-21+1),"")</f>
      </c>
    </row>
    <row r="24">
      <c r="B24" s="202">
        <f>IF($K24="","",IF($K24=9999,"(Sin sprint)",$K24))</f>
      </c>
      <c r="C24" s="202">
        <f>IF($K24="","",COUNTIF('_Datos'!$N$7:$N$200,$K24))</f>
      </c>
      <c r="D24" s="202">
        <f>IF($K24="","",COUNTIFS('_Datos'!$N$7:$N$200,$K24,'_Datos'!$J$7:$J$200,"&lt;&gt;Completado"))</f>
      </c>
      <c r="E24" s="202">
        <f>IF($K24="","",COUNTIFS('_Datos'!$N$7:$N$200,$K24,'_Datos'!$J$7:$J$200,"Vencido"))</f>
      </c>
      <c r="F24" s="202">
        <f>IF($K24="","",COUNTIFS('_Datos'!$N$7:$N$200,$K24,'_Datos'!$J$7:$J$200,"Próximo a vencer"))</f>
      </c>
      <c r="G24" s="204">
        <f>IF($K24="","",IF($D24=0,"—",_xlfn.MINIFS('_Datos'!$H$7:$H$200,'_Datos'!$N$7:$N$200,$K24,'_Datos'!$J$7:$J$200,"&lt;&gt;Completado")))</f>
      </c>
      <c r="H24" s="205">
        <f>IF($K24="","",IFERROR(AVERAGEIF('_Datos'!$N$7:$N$200,$K24,'_Datos'!$I$7:$I$200),""))</f>
      </c>
      <c r="I24" s="202"/>
      <c r="K24" s="200">
        <f>IFERROR(SMALL('_Datos'!$Q$7:$Q$37,ROW()-21+1),"")</f>
      </c>
    </row>
    <row r="25">
      <c r="B25" s="202">
        <f>IF($K25="","",IF($K25=9999,"(Sin sprint)",$K25))</f>
      </c>
      <c r="C25" s="202">
        <f>IF($K25="","",COUNTIF('_Datos'!$N$7:$N$200,$K25))</f>
      </c>
      <c r="D25" s="202">
        <f>IF($K25="","",COUNTIFS('_Datos'!$N$7:$N$200,$K25,'_Datos'!$J$7:$J$200,"&lt;&gt;Completado"))</f>
      </c>
      <c r="E25" s="202">
        <f>IF($K25="","",COUNTIFS('_Datos'!$N$7:$N$200,$K25,'_Datos'!$J$7:$J$200,"Vencido"))</f>
      </c>
      <c r="F25" s="202">
        <f>IF($K25="","",COUNTIFS('_Datos'!$N$7:$N$200,$K25,'_Datos'!$J$7:$J$200,"Próximo a vencer"))</f>
      </c>
      <c r="G25" s="204">
        <f>IF($K25="","",IF($D25=0,"—",_xlfn.MINIFS('_Datos'!$H$7:$H$200,'_Datos'!$N$7:$N$200,$K25,'_Datos'!$J$7:$J$200,"&lt;&gt;Completado")))</f>
      </c>
      <c r="H25" s="205">
        <f>IF($K25="","",IFERROR(AVERAGEIF('_Datos'!$N$7:$N$200,$K25,'_Datos'!$I$7:$I$200),""))</f>
      </c>
      <c r="I25" s="202"/>
      <c r="K25" s="200">
        <f>IFERROR(SMALL('_Datos'!$Q$7:$Q$37,ROW()-21+1),"")</f>
      </c>
    </row>
    <row r="26">
      <c r="B26" s="202">
        <f>IF($K26="","",IF($K26=9999,"(Sin sprint)",$K26))</f>
      </c>
      <c r="C26" s="202">
        <f>IF($K26="","",COUNTIF('_Datos'!$N$7:$N$200,$K26))</f>
      </c>
      <c r="D26" s="202">
        <f>IF($K26="","",COUNTIFS('_Datos'!$N$7:$N$200,$K26,'_Datos'!$J$7:$J$200,"&lt;&gt;Completado"))</f>
      </c>
      <c r="E26" s="202">
        <f>IF($K26="","",COUNTIFS('_Datos'!$N$7:$N$200,$K26,'_Datos'!$J$7:$J$200,"Vencido"))</f>
      </c>
      <c r="F26" s="202">
        <f>IF($K26="","",COUNTIFS('_Datos'!$N$7:$N$200,$K26,'_Datos'!$J$7:$J$200,"Próximo a vencer"))</f>
      </c>
      <c r="G26" s="204">
        <f>IF($K26="","",IF($D26=0,"—",_xlfn.MINIFS('_Datos'!$H$7:$H$200,'_Datos'!$N$7:$N$200,$K26,'_Datos'!$J$7:$J$200,"&lt;&gt;Completado")))</f>
      </c>
      <c r="H26" s="205">
        <f>IF($K26="","",IFERROR(AVERAGEIF('_Datos'!$N$7:$N$200,$K26,'_Datos'!$I$7:$I$200),""))</f>
      </c>
      <c r="I26" s="202"/>
      <c r="K26" s="200">
        <f>IFERROR(SMALL('_Datos'!$Q$7:$Q$37,ROW()-21+1),"")</f>
      </c>
    </row>
    <row r="27">
      <c r="B27" s="202">
        <f>IF($K27="","",IF($K27=9999,"(Sin sprint)",$K27))</f>
      </c>
      <c r="C27" s="202">
        <f>IF($K27="","",COUNTIF('_Datos'!$N$7:$N$200,$K27))</f>
      </c>
      <c r="D27" s="202">
        <f>IF($K27="","",COUNTIFS('_Datos'!$N$7:$N$200,$K27,'_Datos'!$J$7:$J$200,"&lt;&gt;Completado"))</f>
      </c>
      <c r="E27" s="202">
        <f>IF($K27="","",COUNTIFS('_Datos'!$N$7:$N$200,$K27,'_Datos'!$J$7:$J$200,"Vencido"))</f>
      </c>
      <c r="F27" s="202">
        <f>IF($K27="","",COUNTIFS('_Datos'!$N$7:$N$200,$K27,'_Datos'!$J$7:$J$200,"Próximo a vencer"))</f>
      </c>
      <c r="G27" s="204">
        <f>IF($K27="","",IF($D27=0,"—",_xlfn.MINIFS('_Datos'!$H$7:$H$200,'_Datos'!$N$7:$N$200,$K27,'_Datos'!$J$7:$J$200,"&lt;&gt;Completado")))</f>
      </c>
      <c r="H27" s="205">
        <f>IF($K27="","",IFERROR(AVERAGEIF('_Datos'!$N$7:$N$200,$K27,'_Datos'!$I$7:$I$200),""))</f>
      </c>
      <c r="I27" s="202"/>
      <c r="K27" s="200">
        <f>IFERROR(SMALL('_Datos'!$Q$7:$Q$37,ROW()-21+1),"")</f>
      </c>
    </row>
    <row r="28">
      <c r="B28" s="202">
        <f>IF($K28="","",IF($K28=9999,"(Sin sprint)",$K28))</f>
      </c>
      <c r="C28" s="202">
        <f>IF($K28="","",COUNTIF('_Datos'!$N$7:$N$200,$K28))</f>
      </c>
      <c r="D28" s="202">
        <f>IF($K28="","",COUNTIFS('_Datos'!$N$7:$N$200,$K28,'_Datos'!$J$7:$J$200,"&lt;&gt;Completado"))</f>
      </c>
      <c r="E28" s="202">
        <f>IF($K28="","",COUNTIFS('_Datos'!$N$7:$N$200,$K28,'_Datos'!$J$7:$J$200,"Vencido"))</f>
      </c>
      <c r="F28" s="202">
        <f>IF($K28="","",COUNTIFS('_Datos'!$N$7:$N$200,$K28,'_Datos'!$J$7:$J$200,"Próximo a vencer"))</f>
      </c>
      <c r="G28" s="204">
        <f>IF($K28="","",IF($D28=0,"—",_xlfn.MINIFS('_Datos'!$H$7:$H$200,'_Datos'!$N$7:$N$200,$K28,'_Datos'!$J$7:$J$200,"&lt;&gt;Completado")))</f>
      </c>
      <c r="H28" s="205">
        <f>IF($K28="","",IFERROR(AVERAGEIF('_Datos'!$N$7:$N$200,$K28,'_Datos'!$I$7:$I$200),""))</f>
      </c>
      <c r="I28" s="202"/>
      <c r="K28" s="200">
        <f>IFERROR(SMALL('_Datos'!$Q$7:$Q$37,ROW()-21+1),"")</f>
      </c>
    </row>
    <row r="29">
      <c r="B29" s="202">
        <f>IF($K29="","",IF($K29=9999,"(Sin sprint)",$K29))</f>
      </c>
      <c r="C29" s="202">
        <f>IF($K29="","",COUNTIF('_Datos'!$N$7:$N$200,$K29))</f>
      </c>
      <c r="D29" s="202">
        <f>IF($K29="","",COUNTIFS('_Datos'!$N$7:$N$200,$K29,'_Datos'!$J$7:$J$200,"&lt;&gt;Completado"))</f>
      </c>
      <c r="E29" s="202">
        <f>IF($K29="","",COUNTIFS('_Datos'!$N$7:$N$200,$K29,'_Datos'!$J$7:$J$200,"Vencido"))</f>
      </c>
      <c r="F29" s="202">
        <f>IF($K29="","",COUNTIFS('_Datos'!$N$7:$N$200,$K29,'_Datos'!$J$7:$J$200,"Próximo a vencer"))</f>
      </c>
      <c r="G29" s="204">
        <f>IF($K29="","",IF($D29=0,"—",_xlfn.MINIFS('_Datos'!$H$7:$H$200,'_Datos'!$N$7:$N$200,$K29,'_Datos'!$J$7:$J$200,"&lt;&gt;Completado")))</f>
      </c>
      <c r="H29" s="205">
        <f>IF($K29="","",IFERROR(AVERAGEIF('_Datos'!$N$7:$N$200,$K29,'_Datos'!$I$7:$I$200),""))</f>
      </c>
      <c r="I29" s="202"/>
      <c r="K29" s="200">
        <f>IFERROR(SMALL('_Datos'!$Q$7:$Q$37,ROW()-21+1),"")</f>
      </c>
    </row>
    <row r="30">
      <c r="B30" s="202">
        <f>IF($K30="","",IF($K30=9999,"(Sin sprint)",$K30))</f>
      </c>
      <c r="C30" s="202">
        <f>IF($K30="","",COUNTIF('_Datos'!$N$7:$N$200,$K30))</f>
      </c>
      <c r="D30" s="202">
        <f>IF($K30="","",COUNTIFS('_Datos'!$N$7:$N$200,$K30,'_Datos'!$J$7:$J$200,"&lt;&gt;Completado"))</f>
      </c>
      <c r="E30" s="202">
        <f>IF($K30="","",COUNTIFS('_Datos'!$N$7:$N$200,$K30,'_Datos'!$J$7:$J$200,"Vencido"))</f>
      </c>
      <c r="F30" s="202">
        <f>IF($K30="","",COUNTIFS('_Datos'!$N$7:$N$200,$K30,'_Datos'!$J$7:$J$200,"Próximo a vencer"))</f>
      </c>
      <c r="G30" s="204">
        <f>IF($K30="","",IF($D30=0,"—",_xlfn.MINIFS('_Datos'!$H$7:$H$200,'_Datos'!$N$7:$N$200,$K30,'_Datos'!$J$7:$J$200,"&lt;&gt;Completado")))</f>
      </c>
      <c r="H30" s="205">
        <f>IF($K30="","",IFERROR(AVERAGEIF('_Datos'!$N$7:$N$200,$K30,'_Datos'!$I$7:$I$200),""))</f>
      </c>
      <c r="I30" s="202"/>
      <c r="K30" s="200">
        <f>IFERROR(SMALL('_Datos'!$Q$7:$Q$37,ROW()-21+1),"")</f>
      </c>
    </row>
    <row r="31">
      <c r="B31" s="202">
        <f>IF($K31="","",IF($K31=9999,"(Sin sprint)",$K31))</f>
      </c>
      <c r="C31" s="202">
        <f>IF($K31="","",COUNTIF('_Datos'!$N$7:$N$200,$K31))</f>
      </c>
      <c r="D31" s="202">
        <f>IF($K31="","",COUNTIFS('_Datos'!$N$7:$N$200,$K31,'_Datos'!$J$7:$J$200,"&lt;&gt;Completado"))</f>
      </c>
      <c r="E31" s="202">
        <f>IF($K31="","",COUNTIFS('_Datos'!$N$7:$N$200,$K31,'_Datos'!$J$7:$J$200,"Vencido"))</f>
      </c>
      <c r="F31" s="202">
        <f>IF($K31="","",COUNTIFS('_Datos'!$N$7:$N$200,$K31,'_Datos'!$J$7:$J$200,"Próximo a vencer"))</f>
      </c>
      <c r="G31" s="204">
        <f>IF($K31="","",IF($D31=0,"—",_xlfn.MINIFS('_Datos'!$H$7:$H$200,'_Datos'!$N$7:$N$200,$K31,'_Datos'!$J$7:$J$200,"&lt;&gt;Completado")))</f>
      </c>
      <c r="H31" s="205">
        <f>IF($K31="","",IFERROR(AVERAGEIF('_Datos'!$N$7:$N$200,$K31,'_Datos'!$I$7:$I$200),""))</f>
      </c>
      <c r="I31" s="202"/>
      <c r="K31" s="200">
        <f>IFERROR(SMALL('_Datos'!$Q$7:$Q$37,ROW()-21+1),"")</f>
      </c>
    </row>
    <row r="32">
      <c r="B32" s="202">
        <f>IF($K32="","",IF($K32=9999,"(Sin sprint)",$K32))</f>
      </c>
      <c r="C32" s="202">
        <f>IF($K32="","",COUNTIF('_Datos'!$N$7:$N$200,$K32))</f>
      </c>
      <c r="D32" s="202">
        <f>IF($K32="","",COUNTIFS('_Datos'!$N$7:$N$200,$K32,'_Datos'!$J$7:$J$200,"&lt;&gt;Completado"))</f>
      </c>
      <c r="E32" s="202">
        <f>IF($K32="","",COUNTIFS('_Datos'!$N$7:$N$200,$K32,'_Datos'!$J$7:$J$200,"Vencido"))</f>
      </c>
      <c r="F32" s="202">
        <f>IF($K32="","",COUNTIFS('_Datos'!$N$7:$N$200,$K32,'_Datos'!$J$7:$J$200,"Próximo a vencer"))</f>
      </c>
      <c r="G32" s="204">
        <f>IF($K32="","",IF($D32=0,"—",_xlfn.MINIFS('_Datos'!$H$7:$H$200,'_Datos'!$N$7:$N$200,$K32,'_Datos'!$J$7:$J$200,"&lt;&gt;Completado")))</f>
      </c>
      <c r="H32" s="205">
        <f>IF($K32="","",IFERROR(AVERAGEIF('_Datos'!$N$7:$N$200,$K32,'_Datos'!$I$7:$I$200),""))</f>
      </c>
      <c r="I32" s="202"/>
      <c r="K32" s="200">
        <f>IFERROR(SMALL('_Datos'!$Q$7:$Q$37,ROW()-21+1),"")</f>
      </c>
    </row>
    <row r="34">
      <c r="B34" s="176" t="inlineStr">
        <is>
          <t xml:space="preserve">Las métricas se recalculan solas desde la hoja Gantt. Los sprints aparecen automáticamente al usarse (el histórico se conserva). El % por módulo se recalcula de forma independiente (no usa las celdas de promedio de las filas de fase).</t>
        </is>
      </c>
    </row>
  </sheetData>
  <mergeCells count="15">
    <mergeCell ref="B1:I1"/>
    <mergeCell ref="B2:I2"/>
    <mergeCell ref="B4:C4"/>
    <mergeCell ref="B5:C5"/>
    <mergeCell ref="B8:I8"/>
    <mergeCell ref="B9:F9"/>
    <mergeCell ref="B10:F10"/>
    <mergeCell ref="B11:F11"/>
    <mergeCell ref="B12:F12"/>
    <mergeCell ref="B13:F13"/>
    <mergeCell ref="B14:F14"/>
    <mergeCell ref="B15:F15"/>
    <mergeCell ref="B16:F16"/>
    <mergeCell ref="B19:I19"/>
    <mergeCell ref="B34:I34"/>
  </mergeCells>
  <conditionalFormatting sqref="H10:H16">
    <cfRule type="dataBar" priority="10">
      <dataBar>
        <cfvo type="num" val="0"/>
        <cfvo type="num" val="1"/>
        <color rgb="FF2E75B6"/>
      </dataBar>
    </cfRule>
  </conditionalFormatting>
  <conditionalFormatting sqref="I10:I16">
    <cfRule type="dataBar" priority="11">
      <dataBar showValue="0">
        <cfvo type="num" val="0"/>
        <cfvo type="num" val="1"/>
        <color rgb="FF9DC3E6"/>
      </dataBar>
    </cfRule>
  </conditionalFormatting>
  <conditionalFormatting sqref="H21:H32">
    <cfRule type="dataBar" priority="12">
      <dataBar>
        <cfvo type="num" val="0"/>
        <cfvo type="num" val="1"/>
        <color rgb="FF2E75B6"/>
      </dataBar>
    </cfRule>
  </conditionalFormatting>
  <conditionalFormatting sqref="B10:I16">
    <cfRule type="expression" dxfId="21" priority="13">
      <formula>$B10&lt;&gt;""</formula>
    </cfRule>
  </conditionalFormatting>
  <conditionalFormatting sqref="B21:H32">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K156"/>
  <sheetViews>
    <sheetView showGridLines="0" workbookViewId="0">
      <pane ySplit="6" topLeftCell="A7" activePane="bottomLeft" state="frozen"/>
      <selection pane="bottomLeft" activeCell="B7" sqref="B7"/>
    </sheetView>
  </sheetViews>
  <sheetFormatPr defaultRowHeight="15"/>
  <cols>
    <col min="1" max="1" width="2.5" customWidth="1"/>
    <col min="2" max="2" width="12" customWidth="1"/>
    <col min="3" max="3" width="30" customWidth="1"/>
    <col min="4" max="4" width="52" customWidth="1"/>
    <col min="5" max="5" width="24" customWidth="1"/>
    <col min="6" max="6" width="14" customWidth="1"/>
    <col min="7" max="7" width="18" customWidth="1"/>
    <col min="8" max="8" width="11" customWidth="1"/>
    <col min="9" max="9" width="11" customWidth="1"/>
    <col min="11" max="11" width="9" hidden="1"/>
  </cols>
  <sheetData>
    <row r="1" ht="26" customHeight="1">
      <c r="B1" s="169" t="inlineStr">
        <is>
          <t xml:space="preserve">ENTREGAS PRÓXIMAS POR SPRINT</t>
        </is>
      </c>
      <c r="C1" s="169"/>
      <c r="D1" s="169"/>
      <c r="E1" s="169"/>
      <c r="F1" s="169"/>
      <c r="G1" s="169"/>
      <c r="H1" s="169"/>
      <c r="I1" s="169"/>
    </row>
    <row r="2" ht="16" customHeight="1">
      <c r="B2" s="170">
        <f>"Proyecto Datos Op. Complejas · IHSA S.A. · Hoy "&amp;TEXT(TODAY(),"dd/mm/yyyy")&amp;"   |   Entregas: "&amp;COUNT('_Datos'!$H$7:$H$200)&amp;"   |   Vencidas: "&amp;COUNTIF('_Datos'!$J$7:$J$200,"Vencido")&amp;"   |   Próximas: "&amp;COUNTIF('_Datos'!$J$7:$J$200,"Próximo a vencer")&amp;"   |   Avance: "&amp;TEXT(IFERROR(AVERAGE('_Datos'!$I$7:$I$200),0),"0%")&amp;"   |   Próxima entrega: "&amp;IFERROR(TEXT(_xlfn.MINIFS('_Datos'!$H$7:$H$200,'_Datos'!$J$7:$J$200,"&lt;&gt;Completado"),"dd/mm/yyyy"),"-")&amp;"   |   Resumen por sprint → hoja Tablero"</f>
      </c>
      <c r="C2" s="170"/>
      <c r="D2" s="170"/>
      <c r="E2" s="170"/>
      <c r="F2" s="170"/>
      <c r="G2" s="170"/>
      <c r="H2" s="170"/>
      <c r="I2" s="170"/>
    </row>
    <row r="3">
      <c r="B3" s="175" t="inlineStr">
        <is>
          <t xml:space="preserve">Estados:</t>
        </is>
      </c>
      <c r="C3" s="192" t="inlineStr">
        <is>
          <t xml:space="preserve">Vencido</t>
        </is>
      </c>
      <c r="D3" s="193" t="inlineStr">
        <is>
          <t xml:space="preserve">Próximo a vencer</t>
        </is>
      </c>
      <c r="E3" s="194" t="inlineStr">
        <is>
          <t xml:space="preserve">En curso (en plazo)</t>
        </is>
      </c>
      <c r="F3" s="195" t="inlineStr">
        <is>
          <t xml:space="preserve">Completado</t>
        </is>
      </c>
      <c r="G3" s="175" t="inlineStr">
        <is>
          <t xml:space="preserve">Umbral 'Próximo' (días):</t>
        </is>
      </c>
      <c r="H3" s="175"/>
      <c r="I3" s="191">
        <v>7</v>
      </c>
    </row>
    <row r="5">
      <c r="B5" s="172" t="inlineStr">
        <is>
          <t xml:space="preserve">DETALLE DE ENTREGAS  (ordenado por Sprint y luego por Fecha de entrega)</t>
        </is>
      </c>
      <c r="C5" s="172"/>
      <c r="D5" s="172"/>
      <c r="E5" s="172"/>
      <c r="F5" s="172"/>
      <c r="G5" s="172"/>
      <c r="H5" s="172"/>
      <c r="I5" s="172"/>
    </row>
    <row r="6">
      <c r="B6" s="173" t="inlineStr">
        <is>
          <t xml:space="preserve">Sprint</t>
        </is>
      </c>
      <c r="C6" s="173" t="inlineStr">
        <is>
          <t xml:space="preserve">Entregable (Módulo)</t>
        </is>
      </c>
      <c r="D6" s="173" t="inlineStr">
        <is>
          <t xml:space="preserve">Tarea</t>
        </is>
      </c>
      <c r="E6" s="173" t="inlineStr">
        <is>
          <t xml:space="preserve">Responsable</t>
        </is>
      </c>
      <c r="F6" s="173" t="inlineStr">
        <is>
          <t xml:space="preserve">Fecha entrega</t>
        </is>
      </c>
      <c r="G6" s="173" t="inlineStr">
        <is>
          <t xml:space="preserve">Estado</t>
        </is>
      </c>
      <c r="H6" s="173" t="inlineStr">
        <is>
          <t xml:space="preserve">Días rest.</t>
        </is>
      </c>
      <c r="I6" s="173" t="inlineStr">
        <is>
          <t xml:space="preserve">Progreso</t>
        </is>
      </c>
    </row>
    <row r="7">
      <c r="B7" s="202">
        <f>IF($K7="","",INDEX('_Datos'!$M$7:$M$200,$K7))</f>
      </c>
      <c r="C7" s="203">
        <f>IF($K7="","",INDEX('_Datos'!$D$7:$D$200,$K7))</f>
      </c>
      <c r="D7" s="203">
        <f>IF($K7="","",INDEX('_Datos'!$F$7:$F$200,$K7))</f>
      </c>
      <c r="E7" s="203">
        <f>IF($K7="","",INDEX('_Datos'!$G$7:$G$200,$K7))</f>
      </c>
      <c r="F7" s="204">
        <f>IF($K7="","",INDEX('_Datos'!$H$7:$H$200,$K7))</f>
      </c>
      <c r="G7" s="202">
        <f>IF($K7="","",INDEX('_Datos'!$J$7:$J$200,$K7))</f>
      </c>
      <c r="H7" s="206">
        <f>IF($K7="","",INDEX('_Datos'!$K$7:$K$200,$K7))</f>
      </c>
      <c r="I7" s="205">
        <f>IF($K7="","",INDEX('_Datos'!$I$7:$I$200,$K7))</f>
      </c>
      <c r="K7" s="200">
        <f>IFERROR(MATCH(SMALL('_Datos'!$L$7:$L$200,ROW()-7+1),'_Datos'!$L$7:$L$200,0),"")</f>
      </c>
    </row>
    <row r="8">
      <c r="B8" s="202">
        <f>IF($K8="","",INDEX('_Datos'!$M$7:$M$200,$K8))</f>
      </c>
      <c r="C8" s="203">
        <f>IF($K8="","",INDEX('_Datos'!$D$7:$D$200,$K8))</f>
      </c>
      <c r="D8" s="203">
        <f>IF($K8="","",INDEX('_Datos'!$F$7:$F$200,$K8))</f>
      </c>
      <c r="E8" s="203">
        <f>IF($K8="","",INDEX('_Datos'!$G$7:$G$200,$K8))</f>
      </c>
      <c r="F8" s="204">
        <f>IF($K8="","",INDEX('_Datos'!$H$7:$H$200,$K8))</f>
      </c>
      <c r="G8" s="202">
        <f>IF($K8="","",INDEX('_Datos'!$J$7:$J$200,$K8))</f>
      </c>
      <c r="H8" s="206">
        <f>IF($K8="","",INDEX('_Datos'!$K$7:$K$200,$K8))</f>
      </c>
      <c r="I8" s="205">
        <f>IF($K8="","",INDEX('_Datos'!$I$7:$I$200,$K8))</f>
      </c>
      <c r="K8" s="200">
        <f>IFERROR(MATCH(SMALL('_Datos'!$L$7:$L$200,ROW()-7+1),'_Datos'!$L$7:$L$200,0),"")</f>
      </c>
    </row>
    <row r="9">
      <c r="B9" s="202">
        <f>IF($K9="","",INDEX('_Datos'!$M$7:$M$200,$K9))</f>
      </c>
      <c r="C9" s="203">
        <f>IF($K9="","",INDEX('_Datos'!$D$7:$D$200,$K9))</f>
      </c>
      <c r="D9" s="203">
        <f>IF($K9="","",INDEX('_Datos'!$F$7:$F$200,$K9))</f>
      </c>
      <c r="E9" s="203">
        <f>IF($K9="","",INDEX('_Datos'!$G$7:$G$200,$K9))</f>
      </c>
      <c r="F9" s="204">
        <f>IF($K9="","",INDEX('_Datos'!$H$7:$H$200,$K9))</f>
      </c>
      <c r="G9" s="202">
        <f>IF($K9="","",INDEX('_Datos'!$J$7:$J$200,$K9))</f>
      </c>
      <c r="H9" s="206">
        <f>IF($K9="","",INDEX('_Datos'!$K$7:$K$200,$K9))</f>
      </c>
      <c r="I9" s="205">
        <f>IF($K9="","",INDEX('_Datos'!$I$7:$I$200,$K9))</f>
      </c>
      <c r="K9" s="200">
        <f>IFERROR(MATCH(SMALL('_Datos'!$L$7:$L$200,ROW()-7+1),'_Datos'!$L$7:$L$200,0),"")</f>
      </c>
    </row>
    <row r="10">
      <c r="B10" s="202">
        <f>IF($K10="","",INDEX('_Datos'!$M$7:$M$200,$K10))</f>
      </c>
      <c r="C10" s="203">
        <f>IF($K10="","",INDEX('_Datos'!$D$7:$D$200,$K10))</f>
      </c>
      <c r="D10" s="203">
        <f>IF($K10="","",INDEX('_Datos'!$F$7:$F$200,$K10))</f>
      </c>
      <c r="E10" s="203">
        <f>IF($K10="","",INDEX('_Datos'!$G$7:$G$200,$K10))</f>
      </c>
      <c r="F10" s="204">
        <f>IF($K10="","",INDEX('_Datos'!$H$7:$H$200,$K10))</f>
      </c>
      <c r="G10" s="202">
        <f>IF($K10="","",INDEX('_Datos'!$J$7:$J$200,$K10))</f>
      </c>
      <c r="H10" s="206">
        <f>IF($K10="","",INDEX('_Datos'!$K$7:$K$200,$K10))</f>
      </c>
      <c r="I10" s="205">
        <f>IF($K10="","",INDEX('_Datos'!$I$7:$I$200,$K10))</f>
      </c>
      <c r="K10" s="200">
        <f>IFERROR(MATCH(SMALL('_Datos'!$L$7:$L$200,ROW()-7+1),'_Datos'!$L$7:$L$200,0),"")</f>
      </c>
    </row>
    <row r="11">
      <c r="B11" s="202">
        <f>IF($K11="","",INDEX('_Datos'!$M$7:$M$200,$K11))</f>
      </c>
      <c r="C11" s="203">
        <f>IF($K11="","",INDEX('_Datos'!$D$7:$D$200,$K11))</f>
      </c>
      <c r="D11" s="203">
        <f>IF($K11="","",INDEX('_Datos'!$F$7:$F$200,$K11))</f>
      </c>
      <c r="E11" s="203">
        <f>IF($K11="","",INDEX('_Datos'!$G$7:$G$200,$K11))</f>
      </c>
      <c r="F11" s="204">
        <f>IF($K11="","",INDEX('_Datos'!$H$7:$H$200,$K11))</f>
      </c>
      <c r="G11" s="202">
        <f>IF($K11="","",INDEX('_Datos'!$J$7:$J$200,$K11))</f>
      </c>
      <c r="H11" s="206">
        <f>IF($K11="","",INDEX('_Datos'!$K$7:$K$200,$K11))</f>
      </c>
      <c r="I11" s="205">
        <f>IF($K11="","",INDEX('_Datos'!$I$7:$I$200,$K11))</f>
      </c>
      <c r="K11" s="200">
        <f>IFERROR(MATCH(SMALL('_Datos'!$L$7:$L$200,ROW()-7+1),'_Datos'!$L$7:$L$200,0),"")</f>
      </c>
    </row>
    <row r="12">
      <c r="B12" s="202">
        <f>IF($K12="","",INDEX('_Datos'!$M$7:$M$200,$K12))</f>
      </c>
      <c r="C12" s="203">
        <f>IF($K12="","",INDEX('_Datos'!$D$7:$D$200,$K12))</f>
      </c>
      <c r="D12" s="203">
        <f>IF($K12="","",INDEX('_Datos'!$F$7:$F$200,$K12))</f>
      </c>
      <c r="E12" s="203">
        <f>IF($K12="","",INDEX('_Datos'!$G$7:$G$200,$K12))</f>
      </c>
      <c r="F12" s="204">
        <f>IF($K12="","",INDEX('_Datos'!$H$7:$H$200,$K12))</f>
      </c>
      <c r="G12" s="202">
        <f>IF($K12="","",INDEX('_Datos'!$J$7:$J$200,$K12))</f>
      </c>
      <c r="H12" s="206">
        <f>IF($K12="","",INDEX('_Datos'!$K$7:$K$200,$K12))</f>
      </c>
      <c r="I12" s="205">
        <f>IF($K12="","",INDEX('_Datos'!$I$7:$I$200,$K12))</f>
      </c>
      <c r="K12" s="200">
        <f>IFERROR(MATCH(SMALL('_Datos'!$L$7:$L$200,ROW()-7+1),'_Datos'!$L$7:$L$200,0),"")</f>
      </c>
    </row>
    <row r="13">
      <c r="B13" s="202">
        <f>IF($K13="","",INDEX('_Datos'!$M$7:$M$200,$K13))</f>
      </c>
      <c r="C13" s="203">
        <f>IF($K13="","",INDEX('_Datos'!$D$7:$D$200,$K13))</f>
      </c>
      <c r="D13" s="203">
        <f>IF($K13="","",INDEX('_Datos'!$F$7:$F$200,$K13))</f>
      </c>
      <c r="E13" s="203">
        <f>IF($K13="","",INDEX('_Datos'!$G$7:$G$200,$K13))</f>
      </c>
      <c r="F13" s="204">
        <f>IF($K13="","",INDEX('_Datos'!$H$7:$H$200,$K13))</f>
      </c>
      <c r="G13" s="202">
        <f>IF($K13="","",INDEX('_Datos'!$J$7:$J$200,$K13))</f>
      </c>
      <c r="H13" s="206">
        <f>IF($K13="","",INDEX('_Datos'!$K$7:$K$200,$K13))</f>
      </c>
      <c r="I13" s="205">
        <f>IF($K13="","",INDEX('_Datos'!$I$7:$I$200,$K13))</f>
      </c>
      <c r="K13" s="200">
        <f>IFERROR(MATCH(SMALL('_Datos'!$L$7:$L$200,ROW()-7+1),'_Datos'!$L$7:$L$200,0),"")</f>
      </c>
    </row>
    <row r="14">
      <c r="B14" s="202">
        <f>IF($K14="","",INDEX('_Datos'!$M$7:$M$200,$K14))</f>
      </c>
      <c r="C14" s="203">
        <f>IF($K14="","",INDEX('_Datos'!$D$7:$D$200,$K14))</f>
      </c>
      <c r="D14" s="203">
        <f>IF($K14="","",INDEX('_Datos'!$F$7:$F$200,$K14))</f>
      </c>
      <c r="E14" s="203">
        <f>IF($K14="","",INDEX('_Datos'!$G$7:$G$200,$K14))</f>
      </c>
      <c r="F14" s="204">
        <f>IF($K14="","",INDEX('_Datos'!$H$7:$H$200,$K14))</f>
      </c>
      <c r="G14" s="202">
        <f>IF($K14="","",INDEX('_Datos'!$J$7:$J$200,$K14))</f>
      </c>
      <c r="H14" s="206">
        <f>IF($K14="","",INDEX('_Datos'!$K$7:$K$200,$K14))</f>
      </c>
      <c r="I14" s="205">
        <f>IF($K14="","",INDEX('_Datos'!$I$7:$I$200,$K14))</f>
      </c>
      <c r="K14" s="200">
        <f>IFERROR(MATCH(SMALL('_Datos'!$L$7:$L$200,ROW()-7+1),'_Datos'!$L$7:$L$200,0),"")</f>
      </c>
    </row>
    <row r="15">
      <c r="B15" s="202">
        <f>IF($K15="","",INDEX('_Datos'!$M$7:$M$200,$K15))</f>
      </c>
      <c r="C15" s="203">
        <f>IF($K15="","",INDEX('_Datos'!$D$7:$D$200,$K15))</f>
      </c>
      <c r="D15" s="203">
        <f>IF($K15="","",INDEX('_Datos'!$F$7:$F$200,$K15))</f>
      </c>
      <c r="E15" s="203">
        <f>IF($K15="","",INDEX('_Datos'!$G$7:$G$200,$K15))</f>
      </c>
      <c r="F15" s="204">
        <f>IF($K15="","",INDEX('_Datos'!$H$7:$H$200,$K15))</f>
      </c>
      <c r="G15" s="202">
        <f>IF($K15="","",INDEX('_Datos'!$J$7:$J$200,$K15))</f>
      </c>
      <c r="H15" s="206">
        <f>IF($K15="","",INDEX('_Datos'!$K$7:$K$200,$K15))</f>
      </c>
      <c r="I15" s="205">
        <f>IF($K15="","",INDEX('_Datos'!$I$7:$I$200,$K15))</f>
      </c>
      <c r="K15" s="200">
        <f>IFERROR(MATCH(SMALL('_Datos'!$L$7:$L$200,ROW()-7+1),'_Datos'!$L$7:$L$200,0),"")</f>
      </c>
    </row>
    <row r="16">
      <c r="B16" s="202">
        <f>IF($K16="","",INDEX('_Datos'!$M$7:$M$200,$K16))</f>
      </c>
      <c r="C16" s="203">
        <f>IF($K16="","",INDEX('_Datos'!$D$7:$D$200,$K16))</f>
      </c>
      <c r="D16" s="203">
        <f>IF($K16="","",INDEX('_Datos'!$F$7:$F$200,$K16))</f>
      </c>
      <c r="E16" s="203">
        <f>IF($K16="","",INDEX('_Datos'!$G$7:$G$200,$K16))</f>
      </c>
      <c r="F16" s="204">
        <f>IF($K16="","",INDEX('_Datos'!$H$7:$H$200,$K16))</f>
      </c>
      <c r="G16" s="202">
        <f>IF($K16="","",INDEX('_Datos'!$J$7:$J$200,$K16))</f>
      </c>
      <c r="H16" s="206">
        <f>IF($K16="","",INDEX('_Datos'!$K$7:$K$200,$K16))</f>
      </c>
      <c r="I16" s="205">
        <f>IF($K16="","",INDEX('_Datos'!$I$7:$I$200,$K16))</f>
      </c>
      <c r="K16" s="200">
        <f>IFERROR(MATCH(SMALL('_Datos'!$L$7:$L$200,ROW()-7+1),'_Datos'!$L$7:$L$200,0),"")</f>
      </c>
    </row>
    <row r="17">
      <c r="B17" s="202">
        <f>IF($K17="","",INDEX('_Datos'!$M$7:$M$200,$K17))</f>
      </c>
      <c r="C17" s="203">
        <f>IF($K17="","",INDEX('_Datos'!$D$7:$D$200,$K17))</f>
      </c>
      <c r="D17" s="203">
        <f>IF($K17="","",INDEX('_Datos'!$F$7:$F$200,$K17))</f>
      </c>
      <c r="E17" s="203">
        <f>IF($K17="","",INDEX('_Datos'!$G$7:$G$200,$K17))</f>
      </c>
      <c r="F17" s="204">
        <f>IF($K17="","",INDEX('_Datos'!$H$7:$H$200,$K17))</f>
      </c>
      <c r="G17" s="202">
        <f>IF($K17="","",INDEX('_Datos'!$J$7:$J$200,$K17))</f>
      </c>
      <c r="H17" s="206">
        <f>IF($K17="","",INDEX('_Datos'!$K$7:$K$200,$K17))</f>
      </c>
      <c r="I17" s="205">
        <f>IF($K17="","",INDEX('_Datos'!$I$7:$I$200,$K17))</f>
      </c>
      <c r="K17" s="200">
        <f>IFERROR(MATCH(SMALL('_Datos'!$L$7:$L$200,ROW()-7+1),'_Datos'!$L$7:$L$200,0),"")</f>
      </c>
    </row>
    <row r="18">
      <c r="B18" s="202">
        <f>IF($K18="","",INDEX('_Datos'!$M$7:$M$200,$K18))</f>
      </c>
      <c r="C18" s="203">
        <f>IF($K18="","",INDEX('_Datos'!$D$7:$D$200,$K18))</f>
      </c>
      <c r="D18" s="203">
        <f>IF($K18="","",INDEX('_Datos'!$F$7:$F$200,$K18))</f>
      </c>
      <c r="E18" s="203">
        <f>IF($K18="","",INDEX('_Datos'!$G$7:$G$200,$K18))</f>
      </c>
      <c r="F18" s="204">
        <f>IF($K18="","",INDEX('_Datos'!$H$7:$H$200,$K18))</f>
      </c>
      <c r="G18" s="202">
        <f>IF($K18="","",INDEX('_Datos'!$J$7:$J$200,$K18))</f>
      </c>
      <c r="H18" s="206">
        <f>IF($K18="","",INDEX('_Datos'!$K$7:$K$200,$K18))</f>
      </c>
      <c r="I18" s="205">
        <f>IF($K18="","",INDEX('_Datos'!$I$7:$I$200,$K18))</f>
      </c>
      <c r="K18" s="200">
        <f>IFERROR(MATCH(SMALL('_Datos'!$L$7:$L$200,ROW()-7+1),'_Datos'!$L$7:$L$200,0),"")</f>
      </c>
    </row>
    <row r="19">
      <c r="B19" s="202">
        <f>IF($K19="","",INDEX('_Datos'!$M$7:$M$200,$K19))</f>
      </c>
      <c r="C19" s="203">
        <f>IF($K19="","",INDEX('_Datos'!$D$7:$D$200,$K19))</f>
      </c>
      <c r="D19" s="203">
        <f>IF($K19="","",INDEX('_Datos'!$F$7:$F$200,$K19))</f>
      </c>
      <c r="E19" s="203">
        <f>IF($K19="","",INDEX('_Datos'!$G$7:$G$200,$K19))</f>
      </c>
      <c r="F19" s="204">
        <f>IF($K19="","",INDEX('_Datos'!$H$7:$H$200,$K19))</f>
      </c>
      <c r="G19" s="202">
        <f>IF($K19="","",INDEX('_Datos'!$J$7:$J$200,$K19))</f>
      </c>
      <c r="H19" s="206">
        <f>IF($K19="","",INDEX('_Datos'!$K$7:$K$200,$K19))</f>
      </c>
      <c r="I19" s="205">
        <f>IF($K19="","",INDEX('_Datos'!$I$7:$I$200,$K19))</f>
      </c>
      <c r="K19" s="200">
        <f>IFERROR(MATCH(SMALL('_Datos'!$L$7:$L$200,ROW()-7+1),'_Datos'!$L$7:$L$200,0),"")</f>
      </c>
    </row>
    <row r="20">
      <c r="B20" s="202">
        <f>IF($K20="","",INDEX('_Datos'!$M$7:$M$200,$K20))</f>
      </c>
      <c r="C20" s="203">
        <f>IF($K20="","",INDEX('_Datos'!$D$7:$D$200,$K20))</f>
      </c>
      <c r="D20" s="203">
        <f>IF($K20="","",INDEX('_Datos'!$F$7:$F$200,$K20))</f>
      </c>
      <c r="E20" s="203">
        <f>IF($K20="","",INDEX('_Datos'!$G$7:$G$200,$K20))</f>
      </c>
      <c r="F20" s="204">
        <f>IF($K20="","",INDEX('_Datos'!$H$7:$H$200,$K20))</f>
      </c>
      <c r="G20" s="202">
        <f>IF($K20="","",INDEX('_Datos'!$J$7:$J$200,$K20))</f>
      </c>
      <c r="H20" s="206">
        <f>IF($K20="","",INDEX('_Datos'!$K$7:$K$200,$K20))</f>
      </c>
      <c r="I20" s="205">
        <f>IF($K20="","",INDEX('_Datos'!$I$7:$I$200,$K20))</f>
      </c>
      <c r="K20" s="200">
        <f>IFERROR(MATCH(SMALL('_Datos'!$L$7:$L$200,ROW()-7+1),'_Datos'!$L$7:$L$200,0),"")</f>
      </c>
    </row>
    <row r="21">
      <c r="B21" s="202">
        <f>IF($K21="","",INDEX('_Datos'!$M$7:$M$200,$K21))</f>
      </c>
      <c r="C21" s="203">
        <f>IF($K21="","",INDEX('_Datos'!$D$7:$D$200,$K21))</f>
      </c>
      <c r="D21" s="203">
        <f>IF($K21="","",INDEX('_Datos'!$F$7:$F$200,$K21))</f>
      </c>
      <c r="E21" s="203">
        <f>IF($K21="","",INDEX('_Datos'!$G$7:$G$200,$K21))</f>
      </c>
      <c r="F21" s="204">
        <f>IF($K21="","",INDEX('_Datos'!$H$7:$H$200,$K21))</f>
      </c>
      <c r="G21" s="202">
        <f>IF($K21="","",INDEX('_Datos'!$J$7:$J$200,$K21))</f>
      </c>
      <c r="H21" s="206">
        <f>IF($K21="","",INDEX('_Datos'!$K$7:$K$200,$K21))</f>
      </c>
      <c r="I21" s="205">
        <f>IF($K21="","",INDEX('_Datos'!$I$7:$I$200,$K21))</f>
      </c>
      <c r="K21" s="200">
        <f>IFERROR(MATCH(SMALL('_Datos'!$L$7:$L$200,ROW()-7+1),'_Datos'!$L$7:$L$200,0),"")</f>
      </c>
    </row>
    <row r="22">
      <c r="B22" s="202">
        <f>IF($K22="","",INDEX('_Datos'!$M$7:$M$200,$K22))</f>
      </c>
      <c r="C22" s="203">
        <f>IF($K22="","",INDEX('_Datos'!$D$7:$D$200,$K22))</f>
      </c>
      <c r="D22" s="203">
        <f>IF($K22="","",INDEX('_Datos'!$F$7:$F$200,$K22))</f>
      </c>
      <c r="E22" s="203">
        <f>IF($K22="","",INDEX('_Datos'!$G$7:$G$200,$K22))</f>
      </c>
      <c r="F22" s="204">
        <f>IF($K22="","",INDEX('_Datos'!$H$7:$H$200,$K22))</f>
      </c>
      <c r="G22" s="202">
        <f>IF($K22="","",INDEX('_Datos'!$J$7:$J$200,$K22))</f>
      </c>
      <c r="H22" s="206">
        <f>IF($K22="","",INDEX('_Datos'!$K$7:$K$200,$K22))</f>
      </c>
      <c r="I22" s="205">
        <f>IF($K22="","",INDEX('_Datos'!$I$7:$I$200,$K22))</f>
      </c>
      <c r="K22" s="200">
        <f>IFERROR(MATCH(SMALL('_Datos'!$L$7:$L$200,ROW()-7+1),'_Datos'!$L$7:$L$200,0),"")</f>
      </c>
    </row>
    <row r="23">
      <c r="B23" s="202">
        <f>IF($K23="","",INDEX('_Datos'!$M$7:$M$200,$K23))</f>
      </c>
      <c r="C23" s="203">
        <f>IF($K23="","",INDEX('_Datos'!$D$7:$D$200,$K23))</f>
      </c>
      <c r="D23" s="203">
        <f>IF($K23="","",INDEX('_Datos'!$F$7:$F$200,$K23))</f>
      </c>
      <c r="E23" s="203">
        <f>IF($K23="","",INDEX('_Datos'!$G$7:$G$200,$K23))</f>
      </c>
      <c r="F23" s="204">
        <f>IF($K23="","",INDEX('_Datos'!$H$7:$H$200,$K23))</f>
      </c>
      <c r="G23" s="202">
        <f>IF($K23="","",INDEX('_Datos'!$J$7:$J$200,$K23))</f>
      </c>
      <c r="H23" s="206">
        <f>IF($K23="","",INDEX('_Datos'!$K$7:$K$200,$K23))</f>
      </c>
      <c r="I23" s="205">
        <f>IF($K23="","",INDEX('_Datos'!$I$7:$I$200,$K23))</f>
      </c>
      <c r="K23" s="200">
        <f>IFERROR(MATCH(SMALL('_Datos'!$L$7:$L$200,ROW()-7+1),'_Datos'!$L$7:$L$200,0),"")</f>
      </c>
    </row>
    <row r="24">
      <c r="B24" s="202">
        <f>IF($K24="","",INDEX('_Datos'!$M$7:$M$200,$K24))</f>
      </c>
      <c r="C24" s="203">
        <f>IF($K24="","",INDEX('_Datos'!$D$7:$D$200,$K24))</f>
      </c>
      <c r="D24" s="203">
        <f>IF($K24="","",INDEX('_Datos'!$F$7:$F$200,$K24))</f>
      </c>
      <c r="E24" s="203">
        <f>IF($K24="","",INDEX('_Datos'!$G$7:$G$200,$K24))</f>
      </c>
      <c r="F24" s="204">
        <f>IF($K24="","",INDEX('_Datos'!$H$7:$H$200,$K24))</f>
      </c>
      <c r="G24" s="202">
        <f>IF($K24="","",INDEX('_Datos'!$J$7:$J$200,$K24))</f>
      </c>
      <c r="H24" s="206">
        <f>IF($K24="","",INDEX('_Datos'!$K$7:$K$200,$K24))</f>
      </c>
      <c r="I24" s="205">
        <f>IF($K24="","",INDEX('_Datos'!$I$7:$I$200,$K24))</f>
      </c>
      <c r="K24" s="200">
        <f>IFERROR(MATCH(SMALL('_Datos'!$L$7:$L$200,ROW()-7+1),'_Datos'!$L$7:$L$200,0),"")</f>
      </c>
    </row>
    <row r="25">
      <c r="B25" s="202">
        <f>IF($K25="","",INDEX('_Datos'!$M$7:$M$200,$K25))</f>
      </c>
      <c r="C25" s="203">
        <f>IF($K25="","",INDEX('_Datos'!$D$7:$D$200,$K25))</f>
      </c>
      <c r="D25" s="203">
        <f>IF($K25="","",INDEX('_Datos'!$F$7:$F$200,$K25))</f>
      </c>
      <c r="E25" s="203">
        <f>IF($K25="","",INDEX('_Datos'!$G$7:$G$200,$K25))</f>
      </c>
      <c r="F25" s="204">
        <f>IF($K25="","",INDEX('_Datos'!$H$7:$H$200,$K25))</f>
      </c>
      <c r="G25" s="202">
        <f>IF($K25="","",INDEX('_Datos'!$J$7:$J$200,$K25))</f>
      </c>
      <c r="H25" s="206">
        <f>IF($K25="","",INDEX('_Datos'!$K$7:$K$200,$K25))</f>
      </c>
      <c r="I25" s="205">
        <f>IF($K25="","",INDEX('_Datos'!$I$7:$I$200,$K25))</f>
      </c>
      <c r="K25" s="200">
        <f>IFERROR(MATCH(SMALL('_Datos'!$L$7:$L$200,ROW()-7+1),'_Datos'!$L$7:$L$200,0),"")</f>
      </c>
    </row>
    <row r="26">
      <c r="B26" s="202">
        <f>IF($K26="","",INDEX('_Datos'!$M$7:$M$200,$K26))</f>
      </c>
      <c r="C26" s="203">
        <f>IF($K26="","",INDEX('_Datos'!$D$7:$D$200,$K26))</f>
      </c>
      <c r="D26" s="203">
        <f>IF($K26="","",INDEX('_Datos'!$F$7:$F$200,$K26))</f>
      </c>
      <c r="E26" s="203">
        <f>IF($K26="","",INDEX('_Datos'!$G$7:$G$200,$K26))</f>
      </c>
      <c r="F26" s="204">
        <f>IF($K26="","",INDEX('_Datos'!$H$7:$H$200,$K26))</f>
      </c>
      <c r="G26" s="202">
        <f>IF($K26="","",INDEX('_Datos'!$J$7:$J$200,$K26))</f>
      </c>
      <c r="H26" s="206">
        <f>IF($K26="","",INDEX('_Datos'!$K$7:$K$200,$K26))</f>
      </c>
      <c r="I26" s="205">
        <f>IF($K26="","",INDEX('_Datos'!$I$7:$I$200,$K26))</f>
      </c>
      <c r="K26" s="200">
        <f>IFERROR(MATCH(SMALL('_Datos'!$L$7:$L$200,ROW()-7+1),'_Datos'!$L$7:$L$200,0),"")</f>
      </c>
    </row>
    <row r="27">
      <c r="B27" s="202">
        <f>IF($K27="","",INDEX('_Datos'!$M$7:$M$200,$K27))</f>
      </c>
      <c r="C27" s="203">
        <f>IF($K27="","",INDEX('_Datos'!$D$7:$D$200,$K27))</f>
      </c>
      <c r="D27" s="203">
        <f>IF($K27="","",INDEX('_Datos'!$F$7:$F$200,$K27))</f>
      </c>
      <c r="E27" s="203">
        <f>IF($K27="","",INDEX('_Datos'!$G$7:$G$200,$K27))</f>
      </c>
      <c r="F27" s="204">
        <f>IF($K27="","",INDEX('_Datos'!$H$7:$H$200,$K27))</f>
      </c>
      <c r="G27" s="202">
        <f>IF($K27="","",INDEX('_Datos'!$J$7:$J$200,$K27))</f>
      </c>
      <c r="H27" s="206">
        <f>IF($K27="","",INDEX('_Datos'!$K$7:$K$200,$K27))</f>
      </c>
      <c r="I27" s="205">
        <f>IF($K27="","",INDEX('_Datos'!$I$7:$I$200,$K27))</f>
      </c>
      <c r="K27" s="200">
        <f>IFERROR(MATCH(SMALL('_Datos'!$L$7:$L$200,ROW()-7+1),'_Datos'!$L$7:$L$200,0),"")</f>
      </c>
    </row>
    <row r="28">
      <c r="B28" s="202">
        <f>IF($K28="","",INDEX('_Datos'!$M$7:$M$200,$K28))</f>
      </c>
      <c r="C28" s="203">
        <f>IF($K28="","",INDEX('_Datos'!$D$7:$D$200,$K28))</f>
      </c>
      <c r="D28" s="203">
        <f>IF($K28="","",INDEX('_Datos'!$F$7:$F$200,$K28))</f>
      </c>
      <c r="E28" s="203">
        <f>IF($K28="","",INDEX('_Datos'!$G$7:$G$200,$K28))</f>
      </c>
      <c r="F28" s="204">
        <f>IF($K28="","",INDEX('_Datos'!$H$7:$H$200,$K28))</f>
      </c>
      <c r="G28" s="202">
        <f>IF($K28="","",INDEX('_Datos'!$J$7:$J$200,$K28))</f>
      </c>
      <c r="H28" s="206">
        <f>IF($K28="","",INDEX('_Datos'!$K$7:$K$200,$K28))</f>
      </c>
      <c r="I28" s="205">
        <f>IF($K28="","",INDEX('_Datos'!$I$7:$I$200,$K28))</f>
      </c>
      <c r="K28" s="200">
        <f>IFERROR(MATCH(SMALL('_Datos'!$L$7:$L$200,ROW()-7+1),'_Datos'!$L$7:$L$200,0),"")</f>
      </c>
    </row>
    <row r="29">
      <c r="B29" s="202">
        <f>IF($K29="","",INDEX('_Datos'!$M$7:$M$200,$K29))</f>
      </c>
      <c r="C29" s="203">
        <f>IF($K29="","",INDEX('_Datos'!$D$7:$D$200,$K29))</f>
      </c>
      <c r="D29" s="203">
        <f>IF($K29="","",INDEX('_Datos'!$F$7:$F$200,$K29))</f>
      </c>
      <c r="E29" s="203">
        <f>IF($K29="","",INDEX('_Datos'!$G$7:$G$200,$K29))</f>
      </c>
      <c r="F29" s="204">
        <f>IF($K29="","",INDEX('_Datos'!$H$7:$H$200,$K29))</f>
      </c>
      <c r="G29" s="202">
        <f>IF($K29="","",INDEX('_Datos'!$J$7:$J$200,$K29))</f>
      </c>
      <c r="H29" s="206">
        <f>IF($K29="","",INDEX('_Datos'!$K$7:$K$200,$K29))</f>
      </c>
      <c r="I29" s="205">
        <f>IF($K29="","",INDEX('_Datos'!$I$7:$I$200,$K29))</f>
      </c>
      <c r="K29" s="200">
        <f>IFERROR(MATCH(SMALL('_Datos'!$L$7:$L$200,ROW()-7+1),'_Datos'!$L$7:$L$200,0),"")</f>
      </c>
    </row>
    <row r="30">
      <c r="B30" s="202">
        <f>IF($K30="","",INDEX('_Datos'!$M$7:$M$200,$K30))</f>
      </c>
      <c r="C30" s="203">
        <f>IF($K30="","",INDEX('_Datos'!$D$7:$D$200,$K30))</f>
      </c>
      <c r="D30" s="203">
        <f>IF($K30="","",INDEX('_Datos'!$F$7:$F$200,$K30))</f>
      </c>
      <c r="E30" s="203">
        <f>IF($K30="","",INDEX('_Datos'!$G$7:$G$200,$K30))</f>
      </c>
      <c r="F30" s="204">
        <f>IF($K30="","",INDEX('_Datos'!$H$7:$H$200,$K30))</f>
      </c>
      <c r="G30" s="202">
        <f>IF($K30="","",INDEX('_Datos'!$J$7:$J$200,$K30))</f>
      </c>
      <c r="H30" s="206">
        <f>IF($K30="","",INDEX('_Datos'!$K$7:$K$200,$K30))</f>
      </c>
      <c r="I30" s="205">
        <f>IF($K30="","",INDEX('_Datos'!$I$7:$I$200,$K30))</f>
      </c>
      <c r="K30" s="200">
        <f>IFERROR(MATCH(SMALL('_Datos'!$L$7:$L$200,ROW()-7+1),'_Datos'!$L$7:$L$200,0),"")</f>
      </c>
    </row>
    <row r="31">
      <c r="B31" s="202">
        <f>IF($K31="","",INDEX('_Datos'!$M$7:$M$200,$K31))</f>
      </c>
      <c r="C31" s="203">
        <f>IF($K31="","",INDEX('_Datos'!$D$7:$D$200,$K31))</f>
      </c>
      <c r="D31" s="203">
        <f>IF($K31="","",INDEX('_Datos'!$F$7:$F$200,$K31))</f>
      </c>
      <c r="E31" s="203">
        <f>IF($K31="","",INDEX('_Datos'!$G$7:$G$200,$K31))</f>
      </c>
      <c r="F31" s="204">
        <f>IF($K31="","",INDEX('_Datos'!$H$7:$H$200,$K31))</f>
      </c>
      <c r="G31" s="202">
        <f>IF($K31="","",INDEX('_Datos'!$J$7:$J$200,$K31))</f>
      </c>
      <c r="H31" s="206">
        <f>IF($K31="","",INDEX('_Datos'!$K$7:$K$200,$K31))</f>
      </c>
      <c r="I31" s="205">
        <f>IF($K31="","",INDEX('_Datos'!$I$7:$I$200,$K31))</f>
      </c>
      <c r="K31" s="200">
        <f>IFERROR(MATCH(SMALL('_Datos'!$L$7:$L$200,ROW()-7+1),'_Datos'!$L$7:$L$200,0),"")</f>
      </c>
    </row>
    <row r="32">
      <c r="B32" s="202">
        <f>IF($K32="","",INDEX('_Datos'!$M$7:$M$200,$K32))</f>
      </c>
      <c r="C32" s="203">
        <f>IF($K32="","",INDEX('_Datos'!$D$7:$D$200,$K32))</f>
      </c>
      <c r="D32" s="203">
        <f>IF($K32="","",INDEX('_Datos'!$F$7:$F$200,$K32))</f>
      </c>
      <c r="E32" s="203">
        <f>IF($K32="","",INDEX('_Datos'!$G$7:$G$200,$K32))</f>
      </c>
      <c r="F32" s="204">
        <f>IF($K32="","",INDEX('_Datos'!$H$7:$H$200,$K32))</f>
      </c>
      <c r="G32" s="202">
        <f>IF($K32="","",INDEX('_Datos'!$J$7:$J$200,$K32))</f>
      </c>
      <c r="H32" s="206">
        <f>IF($K32="","",INDEX('_Datos'!$K$7:$K$200,$K32))</f>
      </c>
      <c r="I32" s="205">
        <f>IF($K32="","",INDEX('_Datos'!$I$7:$I$200,$K32))</f>
      </c>
      <c r="K32" s="200">
        <f>IFERROR(MATCH(SMALL('_Datos'!$L$7:$L$200,ROW()-7+1),'_Datos'!$L$7:$L$200,0),"")</f>
      </c>
    </row>
    <row r="33">
      <c r="B33" s="202">
        <f>IF($K33="","",INDEX('_Datos'!$M$7:$M$200,$K33))</f>
      </c>
      <c r="C33" s="203">
        <f>IF($K33="","",INDEX('_Datos'!$D$7:$D$200,$K33))</f>
      </c>
      <c r="D33" s="203">
        <f>IF($K33="","",INDEX('_Datos'!$F$7:$F$200,$K33))</f>
      </c>
      <c r="E33" s="203">
        <f>IF($K33="","",INDEX('_Datos'!$G$7:$G$200,$K33))</f>
      </c>
      <c r="F33" s="204">
        <f>IF($K33="","",INDEX('_Datos'!$H$7:$H$200,$K33))</f>
      </c>
      <c r="G33" s="202">
        <f>IF($K33="","",INDEX('_Datos'!$J$7:$J$200,$K33))</f>
      </c>
      <c r="H33" s="206">
        <f>IF($K33="","",INDEX('_Datos'!$K$7:$K$200,$K33))</f>
      </c>
      <c r="I33" s="205">
        <f>IF($K33="","",INDEX('_Datos'!$I$7:$I$200,$K33))</f>
      </c>
      <c r="K33" s="200">
        <f>IFERROR(MATCH(SMALL('_Datos'!$L$7:$L$200,ROW()-7+1),'_Datos'!$L$7:$L$200,0),"")</f>
      </c>
    </row>
    <row r="34">
      <c r="B34" s="202">
        <f>IF($K34="","",INDEX('_Datos'!$M$7:$M$200,$K34))</f>
      </c>
      <c r="C34" s="203">
        <f>IF($K34="","",INDEX('_Datos'!$D$7:$D$200,$K34))</f>
      </c>
      <c r="D34" s="203">
        <f>IF($K34="","",INDEX('_Datos'!$F$7:$F$200,$K34))</f>
      </c>
      <c r="E34" s="203">
        <f>IF($K34="","",INDEX('_Datos'!$G$7:$G$200,$K34))</f>
      </c>
      <c r="F34" s="204">
        <f>IF($K34="","",INDEX('_Datos'!$H$7:$H$200,$K34))</f>
      </c>
      <c r="G34" s="202">
        <f>IF($K34="","",INDEX('_Datos'!$J$7:$J$200,$K34))</f>
      </c>
      <c r="H34" s="206">
        <f>IF($K34="","",INDEX('_Datos'!$K$7:$K$200,$K34))</f>
      </c>
      <c r="I34" s="205">
        <f>IF($K34="","",INDEX('_Datos'!$I$7:$I$200,$K34))</f>
      </c>
      <c r="K34" s="200">
        <f>IFERROR(MATCH(SMALL('_Datos'!$L$7:$L$200,ROW()-7+1),'_Datos'!$L$7:$L$200,0),"")</f>
      </c>
    </row>
    <row r="35">
      <c r="B35" s="202">
        <f>IF($K35="","",INDEX('_Datos'!$M$7:$M$200,$K35))</f>
      </c>
      <c r="C35" s="203">
        <f>IF($K35="","",INDEX('_Datos'!$D$7:$D$200,$K35))</f>
      </c>
      <c r="D35" s="203">
        <f>IF($K35="","",INDEX('_Datos'!$F$7:$F$200,$K35))</f>
      </c>
      <c r="E35" s="203">
        <f>IF($K35="","",INDEX('_Datos'!$G$7:$G$200,$K35))</f>
      </c>
      <c r="F35" s="204">
        <f>IF($K35="","",INDEX('_Datos'!$H$7:$H$200,$K35))</f>
      </c>
      <c r="G35" s="202">
        <f>IF($K35="","",INDEX('_Datos'!$J$7:$J$200,$K35))</f>
      </c>
      <c r="H35" s="206">
        <f>IF($K35="","",INDEX('_Datos'!$K$7:$K$200,$K35))</f>
      </c>
      <c r="I35" s="205">
        <f>IF($K35="","",INDEX('_Datos'!$I$7:$I$200,$K35))</f>
      </c>
      <c r="K35" s="200">
        <f>IFERROR(MATCH(SMALL('_Datos'!$L$7:$L$200,ROW()-7+1),'_Datos'!$L$7:$L$200,0),"")</f>
      </c>
    </row>
    <row r="36">
      <c r="B36" s="202">
        <f>IF($K36="","",INDEX('_Datos'!$M$7:$M$200,$K36))</f>
      </c>
      <c r="C36" s="203">
        <f>IF($K36="","",INDEX('_Datos'!$D$7:$D$200,$K36))</f>
      </c>
      <c r="D36" s="203">
        <f>IF($K36="","",INDEX('_Datos'!$F$7:$F$200,$K36))</f>
      </c>
      <c r="E36" s="203">
        <f>IF($K36="","",INDEX('_Datos'!$G$7:$G$200,$K36))</f>
      </c>
      <c r="F36" s="204">
        <f>IF($K36="","",INDEX('_Datos'!$H$7:$H$200,$K36))</f>
      </c>
      <c r="G36" s="202">
        <f>IF($K36="","",INDEX('_Datos'!$J$7:$J$200,$K36))</f>
      </c>
      <c r="H36" s="206">
        <f>IF($K36="","",INDEX('_Datos'!$K$7:$K$200,$K36))</f>
      </c>
      <c r="I36" s="205">
        <f>IF($K36="","",INDEX('_Datos'!$I$7:$I$200,$K36))</f>
      </c>
      <c r="K36" s="200">
        <f>IFERROR(MATCH(SMALL('_Datos'!$L$7:$L$200,ROW()-7+1),'_Datos'!$L$7:$L$200,0),"")</f>
      </c>
    </row>
    <row r="37">
      <c r="B37" s="202">
        <f>IF($K37="","",INDEX('_Datos'!$M$7:$M$200,$K37))</f>
      </c>
      <c r="C37" s="203">
        <f>IF($K37="","",INDEX('_Datos'!$D$7:$D$200,$K37))</f>
      </c>
      <c r="D37" s="203">
        <f>IF($K37="","",INDEX('_Datos'!$F$7:$F$200,$K37))</f>
      </c>
      <c r="E37" s="203">
        <f>IF($K37="","",INDEX('_Datos'!$G$7:$G$200,$K37))</f>
      </c>
      <c r="F37" s="204">
        <f>IF($K37="","",INDEX('_Datos'!$H$7:$H$200,$K37))</f>
      </c>
      <c r="G37" s="202">
        <f>IF($K37="","",INDEX('_Datos'!$J$7:$J$200,$K37))</f>
      </c>
      <c r="H37" s="206">
        <f>IF($K37="","",INDEX('_Datos'!$K$7:$K$200,$K37))</f>
      </c>
      <c r="I37" s="205">
        <f>IF($K37="","",INDEX('_Datos'!$I$7:$I$200,$K37))</f>
      </c>
      <c r="K37" s="200">
        <f>IFERROR(MATCH(SMALL('_Datos'!$L$7:$L$200,ROW()-7+1),'_Datos'!$L$7:$L$200,0),"")</f>
      </c>
    </row>
    <row r="38">
      <c r="B38" s="202">
        <f>IF($K38="","",INDEX('_Datos'!$M$7:$M$200,$K38))</f>
      </c>
      <c r="C38" s="203">
        <f>IF($K38="","",INDEX('_Datos'!$D$7:$D$200,$K38))</f>
      </c>
      <c r="D38" s="203">
        <f>IF($K38="","",INDEX('_Datos'!$F$7:$F$200,$K38))</f>
      </c>
      <c r="E38" s="203">
        <f>IF($K38="","",INDEX('_Datos'!$G$7:$G$200,$K38))</f>
      </c>
      <c r="F38" s="204">
        <f>IF($K38="","",INDEX('_Datos'!$H$7:$H$200,$K38))</f>
      </c>
      <c r="G38" s="202">
        <f>IF($K38="","",INDEX('_Datos'!$J$7:$J$200,$K38))</f>
      </c>
      <c r="H38" s="206">
        <f>IF($K38="","",INDEX('_Datos'!$K$7:$K$200,$K38))</f>
      </c>
      <c r="I38" s="205">
        <f>IF($K38="","",INDEX('_Datos'!$I$7:$I$200,$K38))</f>
      </c>
      <c r="K38" s="200">
        <f>IFERROR(MATCH(SMALL('_Datos'!$L$7:$L$200,ROW()-7+1),'_Datos'!$L$7:$L$200,0),"")</f>
      </c>
    </row>
    <row r="39">
      <c r="B39" s="202">
        <f>IF($K39="","",INDEX('_Datos'!$M$7:$M$200,$K39))</f>
      </c>
      <c r="C39" s="203">
        <f>IF($K39="","",INDEX('_Datos'!$D$7:$D$200,$K39))</f>
      </c>
      <c r="D39" s="203">
        <f>IF($K39="","",INDEX('_Datos'!$F$7:$F$200,$K39))</f>
      </c>
      <c r="E39" s="203">
        <f>IF($K39="","",INDEX('_Datos'!$G$7:$G$200,$K39))</f>
      </c>
      <c r="F39" s="204">
        <f>IF($K39="","",INDEX('_Datos'!$H$7:$H$200,$K39))</f>
      </c>
      <c r="G39" s="202">
        <f>IF($K39="","",INDEX('_Datos'!$J$7:$J$200,$K39))</f>
      </c>
      <c r="H39" s="206">
        <f>IF($K39="","",INDEX('_Datos'!$K$7:$K$200,$K39))</f>
      </c>
      <c r="I39" s="205">
        <f>IF($K39="","",INDEX('_Datos'!$I$7:$I$200,$K39))</f>
      </c>
      <c r="K39" s="200">
        <f>IFERROR(MATCH(SMALL('_Datos'!$L$7:$L$200,ROW()-7+1),'_Datos'!$L$7:$L$200,0),"")</f>
      </c>
    </row>
    <row r="40">
      <c r="B40" s="202">
        <f>IF($K40="","",INDEX('_Datos'!$M$7:$M$200,$K40))</f>
      </c>
      <c r="C40" s="203">
        <f>IF($K40="","",INDEX('_Datos'!$D$7:$D$200,$K40))</f>
      </c>
      <c r="D40" s="203">
        <f>IF($K40="","",INDEX('_Datos'!$F$7:$F$200,$K40))</f>
      </c>
      <c r="E40" s="203">
        <f>IF($K40="","",INDEX('_Datos'!$G$7:$G$200,$K40))</f>
      </c>
      <c r="F40" s="204">
        <f>IF($K40="","",INDEX('_Datos'!$H$7:$H$200,$K40))</f>
      </c>
      <c r="G40" s="202">
        <f>IF($K40="","",INDEX('_Datos'!$J$7:$J$200,$K40))</f>
      </c>
      <c r="H40" s="206">
        <f>IF($K40="","",INDEX('_Datos'!$K$7:$K$200,$K40))</f>
      </c>
      <c r="I40" s="205">
        <f>IF($K40="","",INDEX('_Datos'!$I$7:$I$200,$K40))</f>
      </c>
      <c r="K40" s="200">
        <f>IFERROR(MATCH(SMALL('_Datos'!$L$7:$L$200,ROW()-7+1),'_Datos'!$L$7:$L$200,0),"")</f>
      </c>
    </row>
    <row r="41">
      <c r="B41" s="202">
        <f>IF($K41="","",INDEX('_Datos'!$M$7:$M$200,$K41))</f>
      </c>
      <c r="C41" s="203">
        <f>IF($K41="","",INDEX('_Datos'!$D$7:$D$200,$K41))</f>
      </c>
      <c r="D41" s="203">
        <f>IF($K41="","",INDEX('_Datos'!$F$7:$F$200,$K41))</f>
      </c>
      <c r="E41" s="203">
        <f>IF($K41="","",INDEX('_Datos'!$G$7:$G$200,$K41))</f>
      </c>
      <c r="F41" s="204">
        <f>IF($K41="","",INDEX('_Datos'!$H$7:$H$200,$K41))</f>
      </c>
      <c r="G41" s="202">
        <f>IF($K41="","",INDEX('_Datos'!$J$7:$J$200,$K41))</f>
      </c>
      <c r="H41" s="206">
        <f>IF($K41="","",INDEX('_Datos'!$K$7:$K$200,$K41))</f>
      </c>
      <c r="I41" s="205">
        <f>IF($K41="","",INDEX('_Datos'!$I$7:$I$200,$K41))</f>
      </c>
      <c r="K41" s="200">
        <f>IFERROR(MATCH(SMALL('_Datos'!$L$7:$L$200,ROW()-7+1),'_Datos'!$L$7:$L$200,0),"")</f>
      </c>
    </row>
    <row r="42">
      <c r="B42" s="202">
        <f>IF($K42="","",INDEX('_Datos'!$M$7:$M$200,$K42))</f>
      </c>
      <c r="C42" s="203">
        <f>IF($K42="","",INDEX('_Datos'!$D$7:$D$200,$K42))</f>
      </c>
      <c r="D42" s="203">
        <f>IF($K42="","",INDEX('_Datos'!$F$7:$F$200,$K42))</f>
      </c>
      <c r="E42" s="203">
        <f>IF($K42="","",INDEX('_Datos'!$G$7:$G$200,$K42))</f>
      </c>
      <c r="F42" s="204">
        <f>IF($K42="","",INDEX('_Datos'!$H$7:$H$200,$K42))</f>
      </c>
      <c r="G42" s="202">
        <f>IF($K42="","",INDEX('_Datos'!$J$7:$J$200,$K42))</f>
      </c>
      <c r="H42" s="206">
        <f>IF($K42="","",INDEX('_Datos'!$K$7:$K$200,$K42))</f>
      </c>
      <c r="I42" s="205">
        <f>IF($K42="","",INDEX('_Datos'!$I$7:$I$200,$K42))</f>
      </c>
      <c r="K42" s="200">
        <f>IFERROR(MATCH(SMALL('_Datos'!$L$7:$L$200,ROW()-7+1),'_Datos'!$L$7:$L$200,0),"")</f>
      </c>
    </row>
    <row r="43">
      <c r="B43" s="202">
        <f>IF($K43="","",INDEX('_Datos'!$M$7:$M$200,$K43))</f>
      </c>
      <c r="C43" s="203">
        <f>IF($K43="","",INDEX('_Datos'!$D$7:$D$200,$K43))</f>
      </c>
      <c r="D43" s="203">
        <f>IF($K43="","",INDEX('_Datos'!$F$7:$F$200,$K43))</f>
      </c>
      <c r="E43" s="203">
        <f>IF($K43="","",INDEX('_Datos'!$G$7:$G$200,$K43))</f>
      </c>
      <c r="F43" s="204">
        <f>IF($K43="","",INDEX('_Datos'!$H$7:$H$200,$K43))</f>
      </c>
      <c r="G43" s="202">
        <f>IF($K43="","",INDEX('_Datos'!$J$7:$J$200,$K43))</f>
      </c>
      <c r="H43" s="206">
        <f>IF($K43="","",INDEX('_Datos'!$K$7:$K$200,$K43))</f>
      </c>
      <c r="I43" s="205">
        <f>IF($K43="","",INDEX('_Datos'!$I$7:$I$200,$K43))</f>
      </c>
      <c r="K43" s="200">
        <f>IFERROR(MATCH(SMALL('_Datos'!$L$7:$L$200,ROW()-7+1),'_Datos'!$L$7:$L$200,0),"")</f>
      </c>
    </row>
    <row r="44">
      <c r="B44" s="202">
        <f>IF($K44="","",INDEX('_Datos'!$M$7:$M$200,$K44))</f>
      </c>
      <c r="C44" s="203">
        <f>IF($K44="","",INDEX('_Datos'!$D$7:$D$200,$K44))</f>
      </c>
      <c r="D44" s="203">
        <f>IF($K44="","",INDEX('_Datos'!$F$7:$F$200,$K44))</f>
      </c>
      <c r="E44" s="203">
        <f>IF($K44="","",INDEX('_Datos'!$G$7:$G$200,$K44))</f>
      </c>
      <c r="F44" s="204">
        <f>IF($K44="","",INDEX('_Datos'!$H$7:$H$200,$K44))</f>
      </c>
      <c r="G44" s="202">
        <f>IF($K44="","",INDEX('_Datos'!$J$7:$J$200,$K44))</f>
      </c>
      <c r="H44" s="206">
        <f>IF($K44="","",INDEX('_Datos'!$K$7:$K$200,$K44))</f>
      </c>
      <c r="I44" s="205">
        <f>IF($K44="","",INDEX('_Datos'!$I$7:$I$200,$K44))</f>
      </c>
      <c r="K44" s="200">
        <f>IFERROR(MATCH(SMALL('_Datos'!$L$7:$L$200,ROW()-7+1),'_Datos'!$L$7:$L$200,0),"")</f>
      </c>
    </row>
    <row r="45">
      <c r="B45" s="202">
        <f>IF($K45="","",INDEX('_Datos'!$M$7:$M$200,$K45))</f>
      </c>
      <c r="C45" s="203">
        <f>IF($K45="","",INDEX('_Datos'!$D$7:$D$200,$K45))</f>
      </c>
      <c r="D45" s="203">
        <f>IF($K45="","",INDEX('_Datos'!$F$7:$F$200,$K45))</f>
      </c>
      <c r="E45" s="203">
        <f>IF($K45="","",INDEX('_Datos'!$G$7:$G$200,$K45))</f>
      </c>
      <c r="F45" s="204">
        <f>IF($K45="","",INDEX('_Datos'!$H$7:$H$200,$K45))</f>
      </c>
      <c r="G45" s="202">
        <f>IF($K45="","",INDEX('_Datos'!$J$7:$J$200,$K45))</f>
      </c>
      <c r="H45" s="206">
        <f>IF($K45="","",INDEX('_Datos'!$K$7:$K$200,$K45))</f>
      </c>
      <c r="I45" s="205">
        <f>IF($K45="","",INDEX('_Datos'!$I$7:$I$200,$K45))</f>
      </c>
      <c r="K45" s="200">
        <f>IFERROR(MATCH(SMALL('_Datos'!$L$7:$L$200,ROW()-7+1),'_Datos'!$L$7:$L$200,0),"")</f>
      </c>
    </row>
    <row r="46">
      <c r="B46" s="202">
        <f>IF($K46="","",INDEX('_Datos'!$M$7:$M$200,$K46))</f>
      </c>
      <c r="C46" s="203">
        <f>IF($K46="","",INDEX('_Datos'!$D$7:$D$200,$K46))</f>
      </c>
      <c r="D46" s="203">
        <f>IF($K46="","",INDEX('_Datos'!$F$7:$F$200,$K46))</f>
      </c>
      <c r="E46" s="203">
        <f>IF($K46="","",INDEX('_Datos'!$G$7:$G$200,$K46))</f>
      </c>
      <c r="F46" s="204">
        <f>IF($K46="","",INDEX('_Datos'!$H$7:$H$200,$K46))</f>
      </c>
      <c r="G46" s="202">
        <f>IF($K46="","",INDEX('_Datos'!$J$7:$J$200,$K46))</f>
      </c>
      <c r="H46" s="206">
        <f>IF($K46="","",INDEX('_Datos'!$K$7:$K$200,$K46))</f>
      </c>
      <c r="I46" s="205">
        <f>IF($K46="","",INDEX('_Datos'!$I$7:$I$200,$K46))</f>
      </c>
      <c r="K46" s="200">
        <f>IFERROR(MATCH(SMALL('_Datos'!$L$7:$L$200,ROW()-7+1),'_Datos'!$L$7:$L$200,0),"")</f>
      </c>
    </row>
    <row r="47">
      <c r="B47" s="202">
        <f>IF($K47="","",INDEX('_Datos'!$M$7:$M$200,$K47))</f>
      </c>
      <c r="C47" s="203">
        <f>IF($K47="","",INDEX('_Datos'!$D$7:$D$200,$K47))</f>
      </c>
      <c r="D47" s="203">
        <f>IF($K47="","",INDEX('_Datos'!$F$7:$F$200,$K47))</f>
      </c>
      <c r="E47" s="203">
        <f>IF($K47="","",INDEX('_Datos'!$G$7:$G$200,$K47))</f>
      </c>
      <c r="F47" s="204">
        <f>IF($K47="","",INDEX('_Datos'!$H$7:$H$200,$K47))</f>
      </c>
      <c r="G47" s="202">
        <f>IF($K47="","",INDEX('_Datos'!$J$7:$J$200,$K47))</f>
      </c>
      <c r="H47" s="206">
        <f>IF($K47="","",INDEX('_Datos'!$K$7:$K$200,$K47))</f>
      </c>
      <c r="I47" s="205">
        <f>IF($K47="","",INDEX('_Datos'!$I$7:$I$200,$K47))</f>
      </c>
      <c r="K47" s="200">
        <f>IFERROR(MATCH(SMALL('_Datos'!$L$7:$L$200,ROW()-7+1),'_Datos'!$L$7:$L$200,0),"")</f>
      </c>
    </row>
    <row r="48">
      <c r="B48" s="202">
        <f>IF($K48="","",INDEX('_Datos'!$M$7:$M$200,$K48))</f>
      </c>
      <c r="C48" s="203">
        <f>IF($K48="","",INDEX('_Datos'!$D$7:$D$200,$K48))</f>
      </c>
      <c r="D48" s="203">
        <f>IF($K48="","",INDEX('_Datos'!$F$7:$F$200,$K48))</f>
      </c>
      <c r="E48" s="203">
        <f>IF($K48="","",INDEX('_Datos'!$G$7:$G$200,$K48))</f>
      </c>
      <c r="F48" s="204">
        <f>IF($K48="","",INDEX('_Datos'!$H$7:$H$200,$K48))</f>
      </c>
      <c r="G48" s="202">
        <f>IF($K48="","",INDEX('_Datos'!$J$7:$J$200,$K48))</f>
      </c>
      <c r="H48" s="206">
        <f>IF($K48="","",INDEX('_Datos'!$K$7:$K$200,$K48))</f>
      </c>
      <c r="I48" s="205">
        <f>IF($K48="","",INDEX('_Datos'!$I$7:$I$200,$K48))</f>
      </c>
      <c r="K48" s="200">
        <f>IFERROR(MATCH(SMALL('_Datos'!$L$7:$L$200,ROW()-7+1),'_Datos'!$L$7:$L$200,0),"")</f>
      </c>
    </row>
    <row r="49">
      <c r="B49" s="202">
        <f>IF($K49="","",INDEX('_Datos'!$M$7:$M$200,$K49))</f>
      </c>
      <c r="C49" s="203">
        <f>IF($K49="","",INDEX('_Datos'!$D$7:$D$200,$K49))</f>
      </c>
      <c r="D49" s="203">
        <f>IF($K49="","",INDEX('_Datos'!$F$7:$F$200,$K49))</f>
      </c>
      <c r="E49" s="203">
        <f>IF($K49="","",INDEX('_Datos'!$G$7:$G$200,$K49))</f>
      </c>
      <c r="F49" s="204">
        <f>IF($K49="","",INDEX('_Datos'!$H$7:$H$200,$K49))</f>
      </c>
      <c r="G49" s="202">
        <f>IF($K49="","",INDEX('_Datos'!$J$7:$J$200,$K49))</f>
      </c>
      <c r="H49" s="206">
        <f>IF($K49="","",INDEX('_Datos'!$K$7:$K$200,$K49))</f>
      </c>
      <c r="I49" s="205">
        <f>IF($K49="","",INDEX('_Datos'!$I$7:$I$200,$K49))</f>
      </c>
      <c r="K49" s="200">
        <f>IFERROR(MATCH(SMALL('_Datos'!$L$7:$L$200,ROW()-7+1),'_Datos'!$L$7:$L$200,0),"")</f>
      </c>
    </row>
    <row r="50">
      <c r="B50" s="202">
        <f>IF($K50="","",INDEX('_Datos'!$M$7:$M$200,$K50))</f>
      </c>
      <c r="C50" s="203">
        <f>IF($K50="","",INDEX('_Datos'!$D$7:$D$200,$K50))</f>
      </c>
      <c r="D50" s="203">
        <f>IF($K50="","",INDEX('_Datos'!$F$7:$F$200,$K50))</f>
      </c>
      <c r="E50" s="203">
        <f>IF($K50="","",INDEX('_Datos'!$G$7:$G$200,$K50))</f>
      </c>
      <c r="F50" s="204">
        <f>IF($K50="","",INDEX('_Datos'!$H$7:$H$200,$K50))</f>
      </c>
      <c r="G50" s="202">
        <f>IF($K50="","",INDEX('_Datos'!$J$7:$J$200,$K50))</f>
      </c>
      <c r="H50" s="206">
        <f>IF($K50="","",INDEX('_Datos'!$K$7:$K$200,$K50))</f>
      </c>
      <c r="I50" s="205">
        <f>IF($K50="","",INDEX('_Datos'!$I$7:$I$200,$K50))</f>
      </c>
      <c r="K50" s="200">
        <f>IFERROR(MATCH(SMALL('_Datos'!$L$7:$L$200,ROW()-7+1),'_Datos'!$L$7:$L$200,0),"")</f>
      </c>
    </row>
    <row r="51">
      <c r="B51" s="202">
        <f>IF($K51="","",INDEX('_Datos'!$M$7:$M$200,$K51))</f>
      </c>
      <c r="C51" s="203">
        <f>IF($K51="","",INDEX('_Datos'!$D$7:$D$200,$K51))</f>
      </c>
      <c r="D51" s="203">
        <f>IF($K51="","",INDEX('_Datos'!$F$7:$F$200,$K51))</f>
      </c>
      <c r="E51" s="203">
        <f>IF($K51="","",INDEX('_Datos'!$G$7:$G$200,$K51))</f>
      </c>
      <c r="F51" s="204">
        <f>IF($K51="","",INDEX('_Datos'!$H$7:$H$200,$K51))</f>
      </c>
      <c r="G51" s="202">
        <f>IF($K51="","",INDEX('_Datos'!$J$7:$J$200,$K51))</f>
      </c>
      <c r="H51" s="206">
        <f>IF($K51="","",INDEX('_Datos'!$K$7:$K$200,$K51))</f>
      </c>
      <c r="I51" s="205">
        <f>IF($K51="","",INDEX('_Datos'!$I$7:$I$200,$K51))</f>
      </c>
      <c r="K51" s="200">
        <f>IFERROR(MATCH(SMALL('_Datos'!$L$7:$L$200,ROW()-7+1),'_Datos'!$L$7:$L$200,0),"")</f>
      </c>
    </row>
    <row r="52">
      <c r="B52" s="202">
        <f>IF($K52="","",INDEX('_Datos'!$M$7:$M$200,$K52))</f>
      </c>
      <c r="C52" s="203">
        <f>IF($K52="","",INDEX('_Datos'!$D$7:$D$200,$K52))</f>
      </c>
      <c r="D52" s="203">
        <f>IF($K52="","",INDEX('_Datos'!$F$7:$F$200,$K52))</f>
      </c>
      <c r="E52" s="203">
        <f>IF($K52="","",INDEX('_Datos'!$G$7:$G$200,$K52))</f>
      </c>
      <c r="F52" s="204">
        <f>IF($K52="","",INDEX('_Datos'!$H$7:$H$200,$K52))</f>
      </c>
      <c r="G52" s="202">
        <f>IF($K52="","",INDEX('_Datos'!$J$7:$J$200,$K52))</f>
      </c>
      <c r="H52" s="206">
        <f>IF($K52="","",INDEX('_Datos'!$K$7:$K$200,$K52))</f>
      </c>
      <c r="I52" s="205">
        <f>IF($K52="","",INDEX('_Datos'!$I$7:$I$200,$K52))</f>
      </c>
      <c r="K52" s="200">
        <f>IFERROR(MATCH(SMALL('_Datos'!$L$7:$L$200,ROW()-7+1),'_Datos'!$L$7:$L$200,0),"")</f>
      </c>
    </row>
    <row r="53">
      <c r="B53" s="202">
        <f>IF($K53="","",INDEX('_Datos'!$M$7:$M$200,$K53))</f>
      </c>
      <c r="C53" s="203">
        <f>IF($K53="","",INDEX('_Datos'!$D$7:$D$200,$K53))</f>
      </c>
      <c r="D53" s="203">
        <f>IF($K53="","",INDEX('_Datos'!$F$7:$F$200,$K53))</f>
      </c>
      <c r="E53" s="203">
        <f>IF($K53="","",INDEX('_Datos'!$G$7:$G$200,$K53))</f>
      </c>
      <c r="F53" s="204">
        <f>IF($K53="","",INDEX('_Datos'!$H$7:$H$200,$K53))</f>
      </c>
      <c r="G53" s="202">
        <f>IF($K53="","",INDEX('_Datos'!$J$7:$J$200,$K53))</f>
      </c>
      <c r="H53" s="206">
        <f>IF($K53="","",INDEX('_Datos'!$K$7:$K$200,$K53))</f>
      </c>
      <c r="I53" s="205">
        <f>IF($K53="","",INDEX('_Datos'!$I$7:$I$200,$K53))</f>
      </c>
      <c r="K53" s="200">
        <f>IFERROR(MATCH(SMALL('_Datos'!$L$7:$L$200,ROW()-7+1),'_Datos'!$L$7:$L$200,0),"")</f>
      </c>
    </row>
    <row r="54">
      <c r="B54" s="202">
        <f>IF($K54="","",INDEX('_Datos'!$M$7:$M$200,$K54))</f>
      </c>
      <c r="C54" s="203">
        <f>IF($K54="","",INDEX('_Datos'!$D$7:$D$200,$K54))</f>
      </c>
      <c r="D54" s="203">
        <f>IF($K54="","",INDEX('_Datos'!$F$7:$F$200,$K54))</f>
      </c>
      <c r="E54" s="203">
        <f>IF($K54="","",INDEX('_Datos'!$G$7:$G$200,$K54))</f>
      </c>
      <c r="F54" s="204">
        <f>IF($K54="","",INDEX('_Datos'!$H$7:$H$200,$K54))</f>
      </c>
      <c r="G54" s="202">
        <f>IF($K54="","",INDEX('_Datos'!$J$7:$J$200,$K54))</f>
      </c>
      <c r="H54" s="206">
        <f>IF($K54="","",INDEX('_Datos'!$K$7:$K$200,$K54))</f>
      </c>
      <c r="I54" s="205">
        <f>IF($K54="","",INDEX('_Datos'!$I$7:$I$200,$K54))</f>
      </c>
      <c r="K54" s="200">
        <f>IFERROR(MATCH(SMALL('_Datos'!$L$7:$L$200,ROW()-7+1),'_Datos'!$L$7:$L$200,0),"")</f>
      </c>
    </row>
    <row r="55">
      <c r="B55" s="202">
        <f>IF($K55="","",INDEX('_Datos'!$M$7:$M$200,$K55))</f>
      </c>
      <c r="C55" s="203">
        <f>IF($K55="","",INDEX('_Datos'!$D$7:$D$200,$K55))</f>
      </c>
      <c r="D55" s="203">
        <f>IF($K55="","",INDEX('_Datos'!$F$7:$F$200,$K55))</f>
      </c>
      <c r="E55" s="203">
        <f>IF($K55="","",INDEX('_Datos'!$G$7:$G$200,$K55))</f>
      </c>
      <c r="F55" s="204">
        <f>IF($K55="","",INDEX('_Datos'!$H$7:$H$200,$K55))</f>
      </c>
      <c r="G55" s="202">
        <f>IF($K55="","",INDEX('_Datos'!$J$7:$J$200,$K55))</f>
      </c>
      <c r="H55" s="206">
        <f>IF($K55="","",INDEX('_Datos'!$K$7:$K$200,$K55))</f>
      </c>
      <c r="I55" s="205">
        <f>IF($K55="","",INDEX('_Datos'!$I$7:$I$200,$K55))</f>
      </c>
      <c r="K55" s="200">
        <f>IFERROR(MATCH(SMALL('_Datos'!$L$7:$L$200,ROW()-7+1),'_Datos'!$L$7:$L$200,0),"")</f>
      </c>
    </row>
    <row r="56">
      <c r="B56" s="202">
        <f>IF($K56="","",INDEX('_Datos'!$M$7:$M$200,$K56))</f>
      </c>
      <c r="C56" s="203">
        <f>IF($K56="","",INDEX('_Datos'!$D$7:$D$200,$K56))</f>
      </c>
      <c r="D56" s="203">
        <f>IF($K56="","",INDEX('_Datos'!$F$7:$F$200,$K56))</f>
      </c>
      <c r="E56" s="203">
        <f>IF($K56="","",INDEX('_Datos'!$G$7:$G$200,$K56))</f>
      </c>
      <c r="F56" s="204">
        <f>IF($K56="","",INDEX('_Datos'!$H$7:$H$200,$K56))</f>
      </c>
      <c r="G56" s="202">
        <f>IF($K56="","",INDEX('_Datos'!$J$7:$J$200,$K56))</f>
      </c>
      <c r="H56" s="206">
        <f>IF($K56="","",INDEX('_Datos'!$K$7:$K$200,$K56))</f>
      </c>
      <c r="I56" s="205">
        <f>IF($K56="","",INDEX('_Datos'!$I$7:$I$200,$K56))</f>
      </c>
      <c r="K56" s="200">
        <f>IFERROR(MATCH(SMALL('_Datos'!$L$7:$L$200,ROW()-7+1),'_Datos'!$L$7:$L$200,0),"")</f>
      </c>
    </row>
    <row r="57">
      <c r="B57" s="202">
        <f>IF($K57="","",INDEX('_Datos'!$M$7:$M$200,$K57))</f>
      </c>
      <c r="C57" s="203">
        <f>IF($K57="","",INDEX('_Datos'!$D$7:$D$200,$K57))</f>
      </c>
      <c r="D57" s="203">
        <f>IF($K57="","",INDEX('_Datos'!$F$7:$F$200,$K57))</f>
      </c>
      <c r="E57" s="203">
        <f>IF($K57="","",INDEX('_Datos'!$G$7:$G$200,$K57))</f>
      </c>
      <c r="F57" s="204">
        <f>IF($K57="","",INDEX('_Datos'!$H$7:$H$200,$K57))</f>
      </c>
      <c r="G57" s="202">
        <f>IF($K57="","",INDEX('_Datos'!$J$7:$J$200,$K57))</f>
      </c>
      <c r="H57" s="206">
        <f>IF($K57="","",INDEX('_Datos'!$K$7:$K$200,$K57))</f>
      </c>
      <c r="I57" s="205">
        <f>IF($K57="","",INDEX('_Datos'!$I$7:$I$200,$K57))</f>
      </c>
      <c r="K57" s="200">
        <f>IFERROR(MATCH(SMALL('_Datos'!$L$7:$L$200,ROW()-7+1),'_Datos'!$L$7:$L$200,0),"")</f>
      </c>
    </row>
    <row r="58">
      <c r="B58" s="202">
        <f>IF($K58="","",INDEX('_Datos'!$M$7:$M$200,$K58))</f>
      </c>
      <c r="C58" s="203">
        <f>IF($K58="","",INDEX('_Datos'!$D$7:$D$200,$K58))</f>
      </c>
      <c r="D58" s="203">
        <f>IF($K58="","",INDEX('_Datos'!$F$7:$F$200,$K58))</f>
      </c>
      <c r="E58" s="203">
        <f>IF($K58="","",INDEX('_Datos'!$G$7:$G$200,$K58))</f>
      </c>
      <c r="F58" s="204">
        <f>IF($K58="","",INDEX('_Datos'!$H$7:$H$200,$K58))</f>
      </c>
      <c r="G58" s="202">
        <f>IF($K58="","",INDEX('_Datos'!$J$7:$J$200,$K58))</f>
      </c>
      <c r="H58" s="206">
        <f>IF($K58="","",INDEX('_Datos'!$K$7:$K$200,$K58))</f>
      </c>
      <c r="I58" s="205">
        <f>IF($K58="","",INDEX('_Datos'!$I$7:$I$200,$K58))</f>
      </c>
      <c r="K58" s="200">
        <f>IFERROR(MATCH(SMALL('_Datos'!$L$7:$L$200,ROW()-7+1),'_Datos'!$L$7:$L$200,0),"")</f>
      </c>
    </row>
    <row r="59">
      <c r="B59" s="202">
        <f>IF($K59="","",INDEX('_Datos'!$M$7:$M$200,$K59))</f>
      </c>
      <c r="C59" s="203">
        <f>IF($K59="","",INDEX('_Datos'!$D$7:$D$200,$K59))</f>
      </c>
      <c r="D59" s="203">
        <f>IF($K59="","",INDEX('_Datos'!$F$7:$F$200,$K59))</f>
      </c>
      <c r="E59" s="203">
        <f>IF($K59="","",INDEX('_Datos'!$G$7:$G$200,$K59))</f>
      </c>
      <c r="F59" s="204">
        <f>IF($K59="","",INDEX('_Datos'!$H$7:$H$200,$K59))</f>
      </c>
      <c r="G59" s="202">
        <f>IF($K59="","",INDEX('_Datos'!$J$7:$J$200,$K59))</f>
      </c>
      <c r="H59" s="206">
        <f>IF($K59="","",INDEX('_Datos'!$K$7:$K$200,$K59))</f>
      </c>
      <c r="I59" s="205">
        <f>IF($K59="","",INDEX('_Datos'!$I$7:$I$200,$K59))</f>
      </c>
      <c r="K59" s="200">
        <f>IFERROR(MATCH(SMALL('_Datos'!$L$7:$L$200,ROW()-7+1),'_Datos'!$L$7:$L$200,0),"")</f>
      </c>
    </row>
    <row r="60">
      <c r="B60" s="202">
        <f>IF($K60="","",INDEX('_Datos'!$M$7:$M$200,$K60))</f>
      </c>
      <c r="C60" s="203">
        <f>IF($K60="","",INDEX('_Datos'!$D$7:$D$200,$K60))</f>
      </c>
      <c r="D60" s="203">
        <f>IF($K60="","",INDEX('_Datos'!$F$7:$F$200,$K60))</f>
      </c>
      <c r="E60" s="203">
        <f>IF($K60="","",INDEX('_Datos'!$G$7:$G$200,$K60))</f>
      </c>
      <c r="F60" s="204">
        <f>IF($K60="","",INDEX('_Datos'!$H$7:$H$200,$K60))</f>
      </c>
      <c r="G60" s="202">
        <f>IF($K60="","",INDEX('_Datos'!$J$7:$J$200,$K60))</f>
      </c>
      <c r="H60" s="206">
        <f>IF($K60="","",INDEX('_Datos'!$K$7:$K$200,$K60))</f>
      </c>
      <c r="I60" s="205">
        <f>IF($K60="","",INDEX('_Datos'!$I$7:$I$200,$K60))</f>
      </c>
      <c r="K60" s="200">
        <f>IFERROR(MATCH(SMALL('_Datos'!$L$7:$L$200,ROW()-7+1),'_Datos'!$L$7:$L$200,0),"")</f>
      </c>
    </row>
    <row r="61">
      <c r="B61" s="202">
        <f>IF($K61="","",INDEX('_Datos'!$M$7:$M$200,$K61))</f>
      </c>
      <c r="C61" s="203">
        <f>IF($K61="","",INDEX('_Datos'!$D$7:$D$200,$K61))</f>
      </c>
      <c r="D61" s="203">
        <f>IF($K61="","",INDEX('_Datos'!$F$7:$F$200,$K61))</f>
      </c>
      <c r="E61" s="203">
        <f>IF($K61="","",INDEX('_Datos'!$G$7:$G$200,$K61))</f>
      </c>
      <c r="F61" s="204">
        <f>IF($K61="","",INDEX('_Datos'!$H$7:$H$200,$K61))</f>
      </c>
      <c r="G61" s="202">
        <f>IF($K61="","",INDEX('_Datos'!$J$7:$J$200,$K61))</f>
      </c>
      <c r="H61" s="206">
        <f>IF($K61="","",INDEX('_Datos'!$K$7:$K$200,$K61))</f>
      </c>
      <c r="I61" s="205">
        <f>IF($K61="","",INDEX('_Datos'!$I$7:$I$200,$K61))</f>
      </c>
      <c r="K61" s="200">
        <f>IFERROR(MATCH(SMALL('_Datos'!$L$7:$L$200,ROW()-7+1),'_Datos'!$L$7:$L$200,0),"")</f>
      </c>
    </row>
    <row r="62">
      <c r="B62" s="202">
        <f>IF($K62="","",INDEX('_Datos'!$M$7:$M$200,$K62))</f>
      </c>
      <c r="C62" s="203">
        <f>IF($K62="","",INDEX('_Datos'!$D$7:$D$200,$K62))</f>
      </c>
      <c r="D62" s="203">
        <f>IF($K62="","",INDEX('_Datos'!$F$7:$F$200,$K62))</f>
      </c>
      <c r="E62" s="203">
        <f>IF($K62="","",INDEX('_Datos'!$G$7:$G$200,$K62))</f>
      </c>
      <c r="F62" s="204">
        <f>IF($K62="","",INDEX('_Datos'!$H$7:$H$200,$K62))</f>
      </c>
      <c r="G62" s="202">
        <f>IF($K62="","",INDEX('_Datos'!$J$7:$J$200,$K62))</f>
      </c>
      <c r="H62" s="206">
        <f>IF($K62="","",INDEX('_Datos'!$K$7:$K$200,$K62))</f>
      </c>
      <c r="I62" s="205">
        <f>IF($K62="","",INDEX('_Datos'!$I$7:$I$200,$K62))</f>
      </c>
      <c r="K62" s="200">
        <f>IFERROR(MATCH(SMALL('_Datos'!$L$7:$L$200,ROW()-7+1),'_Datos'!$L$7:$L$200,0),"")</f>
      </c>
    </row>
    <row r="63">
      <c r="B63" s="202">
        <f>IF($K63="","",INDEX('_Datos'!$M$7:$M$200,$K63))</f>
      </c>
      <c r="C63" s="203">
        <f>IF($K63="","",INDEX('_Datos'!$D$7:$D$200,$K63))</f>
      </c>
      <c r="D63" s="203">
        <f>IF($K63="","",INDEX('_Datos'!$F$7:$F$200,$K63))</f>
      </c>
      <c r="E63" s="203">
        <f>IF($K63="","",INDEX('_Datos'!$G$7:$G$200,$K63))</f>
      </c>
      <c r="F63" s="204">
        <f>IF($K63="","",INDEX('_Datos'!$H$7:$H$200,$K63))</f>
      </c>
      <c r="G63" s="202">
        <f>IF($K63="","",INDEX('_Datos'!$J$7:$J$200,$K63))</f>
      </c>
      <c r="H63" s="206">
        <f>IF($K63="","",INDEX('_Datos'!$K$7:$K$200,$K63))</f>
      </c>
      <c r="I63" s="205">
        <f>IF($K63="","",INDEX('_Datos'!$I$7:$I$200,$K63))</f>
      </c>
      <c r="K63" s="200">
        <f>IFERROR(MATCH(SMALL('_Datos'!$L$7:$L$200,ROW()-7+1),'_Datos'!$L$7:$L$200,0),"")</f>
      </c>
    </row>
    <row r="64">
      <c r="B64" s="202">
        <f>IF($K64="","",INDEX('_Datos'!$M$7:$M$200,$K64))</f>
      </c>
      <c r="C64" s="203">
        <f>IF($K64="","",INDEX('_Datos'!$D$7:$D$200,$K64))</f>
      </c>
      <c r="D64" s="203">
        <f>IF($K64="","",INDEX('_Datos'!$F$7:$F$200,$K64))</f>
      </c>
      <c r="E64" s="203">
        <f>IF($K64="","",INDEX('_Datos'!$G$7:$G$200,$K64))</f>
      </c>
      <c r="F64" s="204">
        <f>IF($K64="","",INDEX('_Datos'!$H$7:$H$200,$K64))</f>
      </c>
      <c r="G64" s="202">
        <f>IF($K64="","",INDEX('_Datos'!$J$7:$J$200,$K64))</f>
      </c>
      <c r="H64" s="206">
        <f>IF($K64="","",INDEX('_Datos'!$K$7:$K$200,$K64))</f>
      </c>
      <c r="I64" s="205">
        <f>IF($K64="","",INDEX('_Datos'!$I$7:$I$200,$K64))</f>
      </c>
      <c r="K64" s="200">
        <f>IFERROR(MATCH(SMALL('_Datos'!$L$7:$L$200,ROW()-7+1),'_Datos'!$L$7:$L$200,0),"")</f>
      </c>
    </row>
    <row r="65">
      <c r="B65" s="202">
        <f>IF($K65="","",INDEX('_Datos'!$M$7:$M$200,$K65))</f>
      </c>
      <c r="C65" s="203">
        <f>IF($K65="","",INDEX('_Datos'!$D$7:$D$200,$K65))</f>
      </c>
      <c r="D65" s="203">
        <f>IF($K65="","",INDEX('_Datos'!$F$7:$F$200,$K65))</f>
      </c>
      <c r="E65" s="203">
        <f>IF($K65="","",INDEX('_Datos'!$G$7:$G$200,$K65))</f>
      </c>
      <c r="F65" s="204">
        <f>IF($K65="","",INDEX('_Datos'!$H$7:$H$200,$K65))</f>
      </c>
      <c r="G65" s="202">
        <f>IF($K65="","",INDEX('_Datos'!$J$7:$J$200,$K65))</f>
      </c>
      <c r="H65" s="206">
        <f>IF($K65="","",INDEX('_Datos'!$K$7:$K$200,$K65))</f>
      </c>
      <c r="I65" s="205">
        <f>IF($K65="","",INDEX('_Datos'!$I$7:$I$200,$K65))</f>
      </c>
      <c r="K65" s="200">
        <f>IFERROR(MATCH(SMALL('_Datos'!$L$7:$L$200,ROW()-7+1),'_Datos'!$L$7:$L$200,0),"")</f>
      </c>
    </row>
    <row r="66">
      <c r="B66" s="202">
        <f>IF($K66="","",INDEX('_Datos'!$M$7:$M$200,$K66))</f>
      </c>
      <c r="C66" s="203">
        <f>IF($K66="","",INDEX('_Datos'!$D$7:$D$200,$K66))</f>
      </c>
      <c r="D66" s="203">
        <f>IF($K66="","",INDEX('_Datos'!$F$7:$F$200,$K66))</f>
      </c>
      <c r="E66" s="203">
        <f>IF($K66="","",INDEX('_Datos'!$G$7:$G$200,$K66))</f>
      </c>
      <c r="F66" s="204">
        <f>IF($K66="","",INDEX('_Datos'!$H$7:$H$200,$K66))</f>
      </c>
      <c r="G66" s="202">
        <f>IF($K66="","",INDEX('_Datos'!$J$7:$J$200,$K66))</f>
      </c>
      <c r="H66" s="206">
        <f>IF($K66="","",INDEX('_Datos'!$K$7:$K$200,$K66))</f>
      </c>
      <c r="I66" s="205">
        <f>IF($K66="","",INDEX('_Datos'!$I$7:$I$200,$K66))</f>
      </c>
      <c r="K66" s="200">
        <f>IFERROR(MATCH(SMALL('_Datos'!$L$7:$L$200,ROW()-7+1),'_Datos'!$L$7:$L$200,0),"")</f>
      </c>
    </row>
    <row r="67">
      <c r="B67" s="202">
        <f>IF($K67="","",INDEX('_Datos'!$M$7:$M$200,$K67))</f>
      </c>
      <c r="C67" s="203">
        <f>IF($K67="","",INDEX('_Datos'!$D$7:$D$200,$K67))</f>
      </c>
      <c r="D67" s="203">
        <f>IF($K67="","",INDEX('_Datos'!$F$7:$F$200,$K67))</f>
      </c>
      <c r="E67" s="203">
        <f>IF($K67="","",INDEX('_Datos'!$G$7:$G$200,$K67))</f>
      </c>
      <c r="F67" s="204">
        <f>IF($K67="","",INDEX('_Datos'!$H$7:$H$200,$K67))</f>
      </c>
      <c r="G67" s="202">
        <f>IF($K67="","",INDEX('_Datos'!$J$7:$J$200,$K67))</f>
      </c>
      <c r="H67" s="206">
        <f>IF($K67="","",INDEX('_Datos'!$K$7:$K$200,$K67))</f>
      </c>
      <c r="I67" s="205">
        <f>IF($K67="","",INDEX('_Datos'!$I$7:$I$200,$K67))</f>
      </c>
      <c r="K67" s="200">
        <f>IFERROR(MATCH(SMALL('_Datos'!$L$7:$L$200,ROW()-7+1),'_Datos'!$L$7:$L$200,0),"")</f>
      </c>
    </row>
    <row r="68">
      <c r="B68" s="202">
        <f>IF($K68="","",INDEX('_Datos'!$M$7:$M$200,$K68))</f>
      </c>
      <c r="C68" s="203">
        <f>IF($K68="","",INDEX('_Datos'!$D$7:$D$200,$K68))</f>
      </c>
      <c r="D68" s="203">
        <f>IF($K68="","",INDEX('_Datos'!$F$7:$F$200,$K68))</f>
      </c>
      <c r="E68" s="203">
        <f>IF($K68="","",INDEX('_Datos'!$G$7:$G$200,$K68))</f>
      </c>
      <c r="F68" s="204">
        <f>IF($K68="","",INDEX('_Datos'!$H$7:$H$200,$K68))</f>
      </c>
      <c r="G68" s="202">
        <f>IF($K68="","",INDEX('_Datos'!$J$7:$J$200,$K68))</f>
      </c>
      <c r="H68" s="206">
        <f>IF($K68="","",INDEX('_Datos'!$K$7:$K$200,$K68))</f>
      </c>
      <c r="I68" s="205">
        <f>IF($K68="","",INDEX('_Datos'!$I$7:$I$200,$K68))</f>
      </c>
      <c r="K68" s="200">
        <f>IFERROR(MATCH(SMALL('_Datos'!$L$7:$L$200,ROW()-7+1),'_Datos'!$L$7:$L$200,0),"")</f>
      </c>
    </row>
    <row r="69">
      <c r="B69" s="202">
        <f>IF($K69="","",INDEX('_Datos'!$M$7:$M$200,$K69))</f>
      </c>
      <c r="C69" s="203">
        <f>IF($K69="","",INDEX('_Datos'!$D$7:$D$200,$K69))</f>
      </c>
      <c r="D69" s="203">
        <f>IF($K69="","",INDEX('_Datos'!$F$7:$F$200,$K69))</f>
      </c>
      <c r="E69" s="203">
        <f>IF($K69="","",INDEX('_Datos'!$G$7:$G$200,$K69))</f>
      </c>
      <c r="F69" s="204">
        <f>IF($K69="","",INDEX('_Datos'!$H$7:$H$200,$K69))</f>
      </c>
      <c r="G69" s="202">
        <f>IF($K69="","",INDEX('_Datos'!$J$7:$J$200,$K69))</f>
      </c>
      <c r="H69" s="206">
        <f>IF($K69="","",INDEX('_Datos'!$K$7:$K$200,$K69))</f>
      </c>
      <c r="I69" s="205">
        <f>IF($K69="","",INDEX('_Datos'!$I$7:$I$200,$K69))</f>
      </c>
      <c r="K69" s="200">
        <f>IFERROR(MATCH(SMALL('_Datos'!$L$7:$L$200,ROW()-7+1),'_Datos'!$L$7:$L$200,0),"")</f>
      </c>
    </row>
    <row r="70">
      <c r="B70" s="202">
        <f>IF($K70="","",INDEX('_Datos'!$M$7:$M$200,$K70))</f>
      </c>
      <c r="C70" s="203">
        <f>IF($K70="","",INDEX('_Datos'!$D$7:$D$200,$K70))</f>
      </c>
      <c r="D70" s="203">
        <f>IF($K70="","",INDEX('_Datos'!$F$7:$F$200,$K70))</f>
      </c>
      <c r="E70" s="203">
        <f>IF($K70="","",INDEX('_Datos'!$G$7:$G$200,$K70))</f>
      </c>
      <c r="F70" s="204">
        <f>IF($K70="","",INDEX('_Datos'!$H$7:$H$200,$K70))</f>
      </c>
      <c r="G70" s="202">
        <f>IF($K70="","",INDEX('_Datos'!$J$7:$J$200,$K70))</f>
      </c>
      <c r="H70" s="206">
        <f>IF($K70="","",INDEX('_Datos'!$K$7:$K$200,$K70))</f>
      </c>
      <c r="I70" s="205">
        <f>IF($K70="","",INDEX('_Datos'!$I$7:$I$200,$K70))</f>
      </c>
      <c r="K70" s="200">
        <f>IFERROR(MATCH(SMALL('_Datos'!$L$7:$L$200,ROW()-7+1),'_Datos'!$L$7:$L$200,0),"")</f>
      </c>
    </row>
    <row r="71">
      <c r="B71" s="202">
        <f>IF($K71="","",INDEX('_Datos'!$M$7:$M$200,$K71))</f>
      </c>
      <c r="C71" s="203">
        <f>IF($K71="","",INDEX('_Datos'!$D$7:$D$200,$K71))</f>
      </c>
      <c r="D71" s="203">
        <f>IF($K71="","",INDEX('_Datos'!$F$7:$F$200,$K71))</f>
      </c>
      <c r="E71" s="203">
        <f>IF($K71="","",INDEX('_Datos'!$G$7:$G$200,$K71))</f>
      </c>
      <c r="F71" s="204">
        <f>IF($K71="","",INDEX('_Datos'!$H$7:$H$200,$K71))</f>
      </c>
      <c r="G71" s="202">
        <f>IF($K71="","",INDEX('_Datos'!$J$7:$J$200,$K71))</f>
      </c>
      <c r="H71" s="206">
        <f>IF($K71="","",INDEX('_Datos'!$K$7:$K$200,$K71))</f>
      </c>
      <c r="I71" s="205">
        <f>IF($K71="","",INDEX('_Datos'!$I$7:$I$200,$K71))</f>
      </c>
      <c r="K71" s="200">
        <f>IFERROR(MATCH(SMALL('_Datos'!$L$7:$L$200,ROW()-7+1),'_Datos'!$L$7:$L$200,0),"")</f>
      </c>
    </row>
    <row r="72">
      <c r="B72" s="202">
        <f>IF($K72="","",INDEX('_Datos'!$M$7:$M$200,$K72))</f>
      </c>
      <c r="C72" s="203">
        <f>IF($K72="","",INDEX('_Datos'!$D$7:$D$200,$K72))</f>
      </c>
      <c r="D72" s="203">
        <f>IF($K72="","",INDEX('_Datos'!$F$7:$F$200,$K72))</f>
      </c>
      <c r="E72" s="203">
        <f>IF($K72="","",INDEX('_Datos'!$G$7:$G$200,$K72))</f>
      </c>
      <c r="F72" s="204">
        <f>IF($K72="","",INDEX('_Datos'!$H$7:$H$200,$K72))</f>
      </c>
      <c r="G72" s="202">
        <f>IF($K72="","",INDEX('_Datos'!$J$7:$J$200,$K72))</f>
      </c>
      <c r="H72" s="206">
        <f>IF($K72="","",INDEX('_Datos'!$K$7:$K$200,$K72))</f>
      </c>
      <c r="I72" s="205">
        <f>IF($K72="","",INDEX('_Datos'!$I$7:$I$200,$K72))</f>
      </c>
      <c r="K72" s="200">
        <f>IFERROR(MATCH(SMALL('_Datos'!$L$7:$L$200,ROW()-7+1),'_Datos'!$L$7:$L$200,0),"")</f>
      </c>
    </row>
    <row r="73">
      <c r="B73" s="202">
        <f>IF($K73="","",INDEX('_Datos'!$M$7:$M$200,$K73))</f>
      </c>
      <c r="C73" s="203">
        <f>IF($K73="","",INDEX('_Datos'!$D$7:$D$200,$K73))</f>
      </c>
      <c r="D73" s="203">
        <f>IF($K73="","",INDEX('_Datos'!$F$7:$F$200,$K73))</f>
      </c>
      <c r="E73" s="203">
        <f>IF($K73="","",INDEX('_Datos'!$G$7:$G$200,$K73))</f>
      </c>
      <c r="F73" s="204">
        <f>IF($K73="","",INDEX('_Datos'!$H$7:$H$200,$K73))</f>
      </c>
      <c r="G73" s="202">
        <f>IF($K73="","",INDEX('_Datos'!$J$7:$J$200,$K73))</f>
      </c>
      <c r="H73" s="206">
        <f>IF($K73="","",INDEX('_Datos'!$K$7:$K$200,$K73))</f>
      </c>
      <c r="I73" s="205">
        <f>IF($K73="","",INDEX('_Datos'!$I$7:$I$200,$K73))</f>
      </c>
      <c r="K73" s="200">
        <f>IFERROR(MATCH(SMALL('_Datos'!$L$7:$L$200,ROW()-7+1),'_Datos'!$L$7:$L$200,0),"")</f>
      </c>
    </row>
    <row r="74">
      <c r="B74" s="202">
        <f>IF($K74="","",INDEX('_Datos'!$M$7:$M$200,$K74))</f>
      </c>
      <c r="C74" s="203">
        <f>IF($K74="","",INDEX('_Datos'!$D$7:$D$200,$K74))</f>
      </c>
      <c r="D74" s="203">
        <f>IF($K74="","",INDEX('_Datos'!$F$7:$F$200,$K74))</f>
      </c>
      <c r="E74" s="203">
        <f>IF($K74="","",INDEX('_Datos'!$G$7:$G$200,$K74))</f>
      </c>
      <c r="F74" s="204">
        <f>IF($K74="","",INDEX('_Datos'!$H$7:$H$200,$K74))</f>
      </c>
      <c r="G74" s="202">
        <f>IF($K74="","",INDEX('_Datos'!$J$7:$J$200,$K74))</f>
      </c>
      <c r="H74" s="206">
        <f>IF($K74="","",INDEX('_Datos'!$K$7:$K$200,$K74))</f>
      </c>
      <c r="I74" s="205">
        <f>IF($K74="","",INDEX('_Datos'!$I$7:$I$200,$K74))</f>
      </c>
      <c r="K74" s="200">
        <f>IFERROR(MATCH(SMALL('_Datos'!$L$7:$L$200,ROW()-7+1),'_Datos'!$L$7:$L$200,0),"")</f>
      </c>
    </row>
    <row r="75">
      <c r="B75" s="202">
        <f>IF($K75="","",INDEX('_Datos'!$M$7:$M$200,$K75))</f>
      </c>
      <c r="C75" s="203">
        <f>IF($K75="","",INDEX('_Datos'!$D$7:$D$200,$K75))</f>
      </c>
      <c r="D75" s="203">
        <f>IF($K75="","",INDEX('_Datos'!$F$7:$F$200,$K75))</f>
      </c>
      <c r="E75" s="203">
        <f>IF($K75="","",INDEX('_Datos'!$G$7:$G$200,$K75))</f>
      </c>
      <c r="F75" s="204">
        <f>IF($K75="","",INDEX('_Datos'!$H$7:$H$200,$K75))</f>
      </c>
      <c r="G75" s="202">
        <f>IF($K75="","",INDEX('_Datos'!$J$7:$J$200,$K75))</f>
      </c>
      <c r="H75" s="206">
        <f>IF($K75="","",INDEX('_Datos'!$K$7:$K$200,$K75))</f>
      </c>
      <c r="I75" s="205">
        <f>IF($K75="","",INDEX('_Datos'!$I$7:$I$200,$K75))</f>
      </c>
      <c r="K75" s="200">
        <f>IFERROR(MATCH(SMALL('_Datos'!$L$7:$L$200,ROW()-7+1),'_Datos'!$L$7:$L$200,0),"")</f>
      </c>
    </row>
    <row r="76">
      <c r="B76" s="202">
        <f>IF($K76="","",INDEX('_Datos'!$M$7:$M$200,$K76))</f>
      </c>
      <c r="C76" s="203">
        <f>IF($K76="","",INDEX('_Datos'!$D$7:$D$200,$K76))</f>
      </c>
      <c r="D76" s="203">
        <f>IF($K76="","",INDEX('_Datos'!$F$7:$F$200,$K76))</f>
      </c>
      <c r="E76" s="203">
        <f>IF($K76="","",INDEX('_Datos'!$G$7:$G$200,$K76))</f>
      </c>
      <c r="F76" s="204">
        <f>IF($K76="","",INDEX('_Datos'!$H$7:$H$200,$K76))</f>
      </c>
      <c r="G76" s="202">
        <f>IF($K76="","",INDEX('_Datos'!$J$7:$J$200,$K76))</f>
      </c>
      <c r="H76" s="206">
        <f>IF($K76="","",INDEX('_Datos'!$K$7:$K$200,$K76))</f>
      </c>
      <c r="I76" s="205">
        <f>IF($K76="","",INDEX('_Datos'!$I$7:$I$200,$K76))</f>
      </c>
      <c r="K76" s="200">
        <f>IFERROR(MATCH(SMALL('_Datos'!$L$7:$L$200,ROW()-7+1),'_Datos'!$L$7:$L$200,0),"")</f>
      </c>
    </row>
    <row r="77">
      <c r="B77" s="202">
        <f>IF($K77="","",INDEX('_Datos'!$M$7:$M$200,$K77))</f>
      </c>
      <c r="C77" s="203">
        <f>IF($K77="","",INDEX('_Datos'!$D$7:$D$200,$K77))</f>
      </c>
      <c r="D77" s="203">
        <f>IF($K77="","",INDEX('_Datos'!$F$7:$F$200,$K77))</f>
      </c>
      <c r="E77" s="203">
        <f>IF($K77="","",INDEX('_Datos'!$G$7:$G$200,$K77))</f>
      </c>
      <c r="F77" s="204">
        <f>IF($K77="","",INDEX('_Datos'!$H$7:$H$200,$K77))</f>
      </c>
      <c r="G77" s="202">
        <f>IF($K77="","",INDEX('_Datos'!$J$7:$J$200,$K77))</f>
      </c>
      <c r="H77" s="206">
        <f>IF($K77="","",INDEX('_Datos'!$K$7:$K$200,$K77))</f>
      </c>
      <c r="I77" s="205">
        <f>IF($K77="","",INDEX('_Datos'!$I$7:$I$200,$K77))</f>
      </c>
      <c r="K77" s="200">
        <f>IFERROR(MATCH(SMALL('_Datos'!$L$7:$L$200,ROW()-7+1),'_Datos'!$L$7:$L$200,0),"")</f>
      </c>
    </row>
    <row r="78">
      <c r="B78" s="202">
        <f>IF($K78="","",INDEX('_Datos'!$M$7:$M$200,$K78))</f>
      </c>
      <c r="C78" s="203">
        <f>IF($K78="","",INDEX('_Datos'!$D$7:$D$200,$K78))</f>
      </c>
      <c r="D78" s="203">
        <f>IF($K78="","",INDEX('_Datos'!$F$7:$F$200,$K78))</f>
      </c>
      <c r="E78" s="203">
        <f>IF($K78="","",INDEX('_Datos'!$G$7:$G$200,$K78))</f>
      </c>
      <c r="F78" s="204">
        <f>IF($K78="","",INDEX('_Datos'!$H$7:$H$200,$K78))</f>
      </c>
      <c r="G78" s="202">
        <f>IF($K78="","",INDEX('_Datos'!$J$7:$J$200,$K78))</f>
      </c>
      <c r="H78" s="206">
        <f>IF($K78="","",INDEX('_Datos'!$K$7:$K$200,$K78))</f>
      </c>
      <c r="I78" s="205">
        <f>IF($K78="","",INDEX('_Datos'!$I$7:$I$200,$K78))</f>
      </c>
      <c r="K78" s="200">
        <f>IFERROR(MATCH(SMALL('_Datos'!$L$7:$L$200,ROW()-7+1),'_Datos'!$L$7:$L$200,0),"")</f>
      </c>
    </row>
    <row r="79">
      <c r="B79" s="202">
        <f>IF($K79="","",INDEX('_Datos'!$M$7:$M$200,$K79))</f>
      </c>
      <c r="C79" s="203">
        <f>IF($K79="","",INDEX('_Datos'!$D$7:$D$200,$K79))</f>
      </c>
      <c r="D79" s="203">
        <f>IF($K79="","",INDEX('_Datos'!$F$7:$F$200,$K79))</f>
      </c>
      <c r="E79" s="203">
        <f>IF($K79="","",INDEX('_Datos'!$G$7:$G$200,$K79))</f>
      </c>
      <c r="F79" s="204">
        <f>IF($K79="","",INDEX('_Datos'!$H$7:$H$200,$K79))</f>
      </c>
      <c r="G79" s="202">
        <f>IF($K79="","",INDEX('_Datos'!$J$7:$J$200,$K79))</f>
      </c>
      <c r="H79" s="206">
        <f>IF($K79="","",INDEX('_Datos'!$K$7:$K$200,$K79))</f>
      </c>
      <c r="I79" s="205">
        <f>IF($K79="","",INDEX('_Datos'!$I$7:$I$200,$K79))</f>
      </c>
      <c r="K79" s="200">
        <f>IFERROR(MATCH(SMALL('_Datos'!$L$7:$L$200,ROW()-7+1),'_Datos'!$L$7:$L$200,0),"")</f>
      </c>
    </row>
    <row r="80">
      <c r="B80" s="202">
        <f>IF($K80="","",INDEX('_Datos'!$M$7:$M$200,$K80))</f>
      </c>
      <c r="C80" s="203">
        <f>IF($K80="","",INDEX('_Datos'!$D$7:$D$200,$K80))</f>
      </c>
      <c r="D80" s="203">
        <f>IF($K80="","",INDEX('_Datos'!$F$7:$F$200,$K80))</f>
      </c>
      <c r="E80" s="203">
        <f>IF($K80="","",INDEX('_Datos'!$G$7:$G$200,$K80))</f>
      </c>
      <c r="F80" s="204">
        <f>IF($K80="","",INDEX('_Datos'!$H$7:$H$200,$K80))</f>
      </c>
      <c r="G80" s="202">
        <f>IF($K80="","",INDEX('_Datos'!$J$7:$J$200,$K80))</f>
      </c>
      <c r="H80" s="206">
        <f>IF($K80="","",INDEX('_Datos'!$K$7:$K$200,$K80))</f>
      </c>
      <c r="I80" s="205">
        <f>IF($K80="","",INDEX('_Datos'!$I$7:$I$200,$K80))</f>
      </c>
      <c r="K80" s="200">
        <f>IFERROR(MATCH(SMALL('_Datos'!$L$7:$L$200,ROW()-7+1),'_Datos'!$L$7:$L$200,0),"")</f>
      </c>
    </row>
    <row r="81">
      <c r="B81" s="202">
        <f>IF($K81="","",INDEX('_Datos'!$M$7:$M$200,$K81))</f>
      </c>
      <c r="C81" s="203">
        <f>IF($K81="","",INDEX('_Datos'!$D$7:$D$200,$K81))</f>
      </c>
      <c r="D81" s="203">
        <f>IF($K81="","",INDEX('_Datos'!$F$7:$F$200,$K81))</f>
      </c>
      <c r="E81" s="203">
        <f>IF($K81="","",INDEX('_Datos'!$G$7:$G$200,$K81))</f>
      </c>
      <c r="F81" s="204">
        <f>IF($K81="","",INDEX('_Datos'!$H$7:$H$200,$K81))</f>
      </c>
      <c r="G81" s="202">
        <f>IF($K81="","",INDEX('_Datos'!$J$7:$J$200,$K81))</f>
      </c>
      <c r="H81" s="206">
        <f>IF($K81="","",INDEX('_Datos'!$K$7:$K$200,$K81))</f>
      </c>
      <c r="I81" s="205">
        <f>IF($K81="","",INDEX('_Datos'!$I$7:$I$200,$K81))</f>
      </c>
      <c r="K81" s="200">
        <f>IFERROR(MATCH(SMALL('_Datos'!$L$7:$L$200,ROW()-7+1),'_Datos'!$L$7:$L$200,0),"")</f>
      </c>
    </row>
    <row r="82">
      <c r="B82" s="202">
        <f>IF($K82="","",INDEX('_Datos'!$M$7:$M$200,$K82))</f>
      </c>
      <c r="C82" s="203">
        <f>IF($K82="","",INDEX('_Datos'!$D$7:$D$200,$K82))</f>
      </c>
      <c r="D82" s="203">
        <f>IF($K82="","",INDEX('_Datos'!$F$7:$F$200,$K82))</f>
      </c>
      <c r="E82" s="203">
        <f>IF($K82="","",INDEX('_Datos'!$G$7:$G$200,$K82))</f>
      </c>
      <c r="F82" s="204">
        <f>IF($K82="","",INDEX('_Datos'!$H$7:$H$200,$K82))</f>
      </c>
      <c r="G82" s="202">
        <f>IF($K82="","",INDEX('_Datos'!$J$7:$J$200,$K82))</f>
      </c>
      <c r="H82" s="206">
        <f>IF($K82="","",INDEX('_Datos'!$K$7:$K$200,$K82))</f>
      </c>
      <c r="I82" s="205">
        <f>IF($K82="","",INDEX('_Datos'!$I$7:$I$200,$K82))</f>
      </c>
      <c r="K82" s="200">
        <f>IFERROR(MATCH(SMALL('_Datos'!$L$7:$L$200,ROW()-7+1),'_Datos'!$L$7:$L$200,0),"")</f>
      </c>
    </row>
    <row r="83">
      <c r="B83" s="202">
        <f>IF($K83="","",INDEX('_Datos'!$M$7:$M$200,$K83))</f>
      </c>
      <c r="C83" s="203">
        <f>IF($K83="","",INDEX('_Datos'!$D$7:$D$200,$K83))</f>
      </c>
      <c r="D83" s="203">
        <f>IF($K83="","",INDEX('_Datos'!$F$7:$F$200,$K83))</f>
      </c>
      <c r="E83" s="203">
        <f>IF($K83="","",INDEX('_Datos'!$G$7:$G$200,$K83))</f>
      </c>
      <c r="F83" s="204">
        <f>IF($K83="","",INDEX('_Datos'!$H$7:$H$200,$K83))</f>
      </c>
      <c r="G83" s="202">
        <f>IF($K83="","",INDEX('_Datos'!$J$7:$J$200,$K83))</f>
      </c>
      <c r="H83" s="206">
        <f>IF($K83="","",INDEX('_Datos'!$K$7:$K$200,$K83))</f>
      </c>
      <c r="I83" s="205">
        <f>IF($K83="","",INDEX('_Datos'!$I$7:$I$200,$K83))</f>
      </c>
      <c r="K83" s="200">
        <f>IFERROR(MATCH(SMALL('_Datos'!$L$7:$L$200,ROW()-7+1),'_Datos'!$L$7:$L$200,0),"")</f>
      </c>
    </row>
    <row r="84">
      <c r="B84" s="202">
        <f>IF($K84="","",INDEX('_Datos'!$M$7:$M$200,$K84))</f>
      </c>
      <c r="C84" s="203">
        <f>IF($K84="","",INDEX('_Datos'!$D$7:$D$200,$K84))</f>
      </c>
      <c r="D84" s="203">
        <f>IF($K84="","",INDEX('_Datos'!$F$7:$F$200,$K84))</f>
      </c>
      <c r="E84" s="203">
        <f>IF($K84="","",INDEX('_Datos'!$G$7:$G$200,$K84))</f>
      </c>
      <c r="F84" s="204">
        <f>IF($K84="","",INDEX('_Datos'!$H$7:$H$200,$K84))</f>
      </c>
      <c r="G84" s="202">
        <f>IF($K84="","",INDEX('_Datos'!$J$7:$J$200,$K84))</f>
      </c>
      <c r="H84" s="206">
        <f>IF($K84="","",INDEX('_Datos'!$K$7:$K$200,$K84))</f>
      </c>
      <c r="I84" s="205">
        <f>IF($K84="","",INDEX('_Datos'!$I$7:$I$200,$K84))</f>
      </c>
      <c r="K84" s="200">
        <f>IFERROR(MATCH(SMALL('_Datos'!$L$7:$L$200,ROW()-7+1),'_Datos'!$L$7:$L$200,0),"")</f>
      </c>
    </row>
    <row r="85">
      <c r="B85" s="202">
        <f>IF($K85="","",INDEX('_Datos'!$M$7:$M$200,$K85))</f>
      </c>
      <c r="C85" s="203">
        <f>IF($K85="","",INDEX('_Datos'!$D$7:$D$200,$K85))</f>
      </c>
      <c r="D85" s="203">
        <f>IF($K85="","",INDEX('_Datos'!$F$7:$F$200,$K85))</f>
      </c>
      <c r="E85" s="203">
        <f>IF($K85="","",INDEX('_Datos'!$G$7:$G$200,$K85))</f>
      </c>
      <c r="F85" s="204">
        <f>IF($K85="","",INDEX('_Datos'!$H$7:$H$200,$K85))</f>
      </c>
      <c r="G85" s="202">
        <f>IF($K85="","",INDEX('_Datos'!$J$7:$J$200,$K85))</f>
      </c>
      <c r="H85" s="206">
        <f>IF($K85="","",INDEX('_Datos'!$K$7:$K$200,$K85))</f>
      </c>
      <c r="I85" s="205">
        <f>IF($K85="","",INDEX('_Datos'!$I$7:$I$200,$K85))</f>
      </c>
      <c r="K85" s="200">
        <f>IFERROR(MATCH(SMALL('_Datos'!$L$7:$L$200,ROW()-7+1),'_Datos'!$L$7:$L$200,0),"")</f>
      </c>
    </row>
    <row r="86">
      <c r="B86" s="202">
        <f>IF($K86="","",INDEX('_Datos'!$M$7:$M$200,$K86))</f>
      </c>
      <c r="C86" s="203">
        <f>IF($K86="","",INDEX('_Datos'!$D$7:$D$200,$K86))</f>
      </c>
      <c r="D86" s="203">
        <f>IF($K86="","",INDEX('_Datos'!$F$7:$F$200,$K86))</f>
      </c>
      <c r="E86" s="203">
        <f>IF($K86="","",INDEX('_Datos'!$G$7:$G$200,$K86))</f>
      </c>
      <c r="F86" s="204">
        <f>IF($K86="","",INDEX('_Datos'!$H$7:$H$200,$K86))</f>
      </c>
      <c r="G86" s="202">
        <f>IF($K86="","",INDEX('_Datos'!$J$7:$J$200,$K86))</f>
      </c>
      <c r="H86" s="206">
        <f>IF($K86="","",INDEX('_Datos'!$K$7:$K$200,$K86))</f>
      </c>
      <c r="I86" s="205">
        <f>IF($K86="","",INDEX('_Datos'!$I$7:$I$200,$K86))</f>
      </c>
      <c r="K86" s="200">
        <f>IFERROR(MATCH(SMALL('_Datos'!$L$7:$L$200,ROW()-7+1),'_Datos'!$L$7:$L$200,0),"")</f>
      </c>
    </row>
    <row r="87">
      <c r="B87" s="202">
        <f>IF($K87="","",INDEX('_Datos'!$M$7:$M$200,$K87))</f>
      </c>
      <c r="C87" s="203">
        <f>IF($K87="","",INDEX('_Datos'!$D$7:$D$200,$K87))</f>
      </c>
      <c r="D87" s="203">
        <f>IF($K87="","",INDEX('_Datos'!$F$7:$F$200,$K87))</f>
      </c>
      <c r="E87" s="203">
        <f>IF($K87="","",INDEX('_Datos'!$G$7:$G$200,$K87))</f>
      </c>
      <c r="F87" s="204">
        <f>IF($K87="","",INDEX('_Datos'!$H$7:$H$200,$K87))</f>
      </c>
      <c r="G87" s="202">
        <f>IF($K87="","",INDEX('_Datos'!$J$7:$J$200,$K87))</f>
      </c>
      <c r="H87" s="206">
        <f>IF($K87="","",INDEX('_Datos'!$K$7:$K$200,$K87))</f>
      </c>
      <c r="I87" s="205">
        <f>IF($K87="","",INDEX('_Datos'!$I$7:$I$200,$K87))</f>
      </c>
      <c r="K87" s="200">
        <f>IFERROR(MATCH(SMALL('_Datos'!$L$7:$L$200,ROW()-7+1),'_Datos'!$L$7:$L$200,0),"")</f>
      </c>
    </row>
    <row r="88">
      <c r="B88" s="202">
        <f>IF($K88="","",INDEX('_Datos'!$M$7:$M$200,$K88))</f>
      </c>
      <c r="C88" s="203">
        <f>IF($K88="","",INDEX('_Datos'!$D$7:$D$200,$K88))</f>
      </c>
      <c r="D88" s="203">
        <f>IF($K88="","",INDEX('_Datos'!$F$7:$F$200,$K88))</f>
      </c>
      <c r="E88" s="203">
        <f>IF($K88="","",INDEX('_Datos'!$G$7:$G$200,$K88))</f>
      </c>
      <c r="F88" s="204">
        <f>IF($K88="","",INDEX('_Datos'!$H$7:$H$200,$K88))</f>
      </c>
      <c r="G88" s="202">
        <f>IF($K88="","",INDEX('_Datos'!$J$7:$J$200,$K88))</f>
      </c>
      <c r="H88" s="206">
        <f>IF($K88="","",INDEX('_Datos'!$K$7:$K$200,$K88))</f>
      </c>
      <c r="I88" s="205">
        <f>IF($K88="","",INDEX('_Datos'!$I$7:$I$200,$K88))</f>
      </c>
      <c r="K88" s="200">
        <f>IFERROR(MATCH(SMALL('_Datos'!$L$7:$L$200,ROW()-7+1),'_Datos'!$L$7:$L$200,0),"")</f>
      </c>
    </row>
    <row r="89">
      <c r="B89" s="202">
        <f>IF($K89="","",INDEX('_Datos'!$M$7:$M$200,$K89))</f>
      </c>
      <c r="C89" s="203">
        <f>IF($K89="","",INDEX('_Datos'!$D$7:$D$200,$K89))</f>
      </c>
      <c r="D89" s="203">
        <f>IF($K89="","",INDEX('_Datos'!$F$7:$F$200,$K89))</f>
      </c>
      <c r="E89" s="203">
        <f>IF($K89="","",INDEX('_Datos'!$G$7:$G$200,$K89))</f>
      </c>
      <c r="F89" s="204">
        <f>IF($K89="","",INDEX('_Datos'!$H$7:$H$200,$K89))</f>
      </c>
      <c r="G89" s="202">
        <f>IF($K89="","",INDEX('_Datos'!$J$7:$J$200,$K89))</f>
      </c>
      <c r="H89" s="206">
        <f>IF($K89="","",INDEX('_Datos'!$K$7:$K$200,$K89))</f>
      </c>
      <c r="I89" s="205">
        <f>IF($K89="","",INDEX('_Datos'!$I$7:$I$200,$K89))</f>
      </c>
      <c r="K89" s="200">
        <f>IFERROR(MATCH(SMALL('_Datos'!$L$7:$L$200,ROW()-7+1),'_Datos'!$L$7:$L$200,0),"")</f>
      </c>
    </row>
    <row r="90">
      <c r="B90" s="202">
        <f>IF($K90="","",INDEX('_Datos'!$M$7:$M$200,$K90))</f>
      </c>
      <c r="C90" s="203">
        <f>IF($K90="","",INDEX('_Datos'!$D$7:$D$200,$K90))</f>
      </c>
      <c r="D90" s="203">
        <f>IF($K90="","",INDEX('_Datos'!$F$7:$F$200,$K90))</f>
      </c>
      <c r="E90" s="203">
        <f>IF($K90="","",INDEX('_Datos'!$G$7:$G$200,$K90))</f>
      </c>
      <c r="F90" s="204">
        <f>IF($K90="","",INDEX('_Datos'!$H$7:$H$200,$K90))</f>
      </c>
      <c r="G90" s="202">
        <f>IF($K90="","",INDEX('_Datos'!$J$7:$J$200,$K90))</f>
      </c>
      <c r="H90" s="206">
        <f>IF($K90="","",INDEX('_Datos'!$K$7:$K$200,$K90))</f>
      </c>
      <c r="I90" s="205">
        <f>IF($K90="","",INDEX('_Datos'!$I$7:$I$200,$K90))</f>
      </c>
      <c r="K90" s="200">
        <f>IFERROR(MATCH(SMALL('_Datos'!$L$7:$L$200,ROW()-7+1),'_Datos'!$L$7:$L$200,0),"")</f>
      </c>
    </row>
    <row r="91">
      <c r="B91" s="202">
        <f>IF($K91="","",INDEX('_Datos'!$M$7:$M$200,$K91))</f>
      </c>
      <c r="C91" s="203">
        <f>IF($K91="","",INDEX('_Datos'!$D$7:$D$200,$K91))</f>
      </c>
      <c r="D91" s="203">
        <f>IF($K91="","",INDEX('_Datos'!$F$7:$F$200,$K91))</f>
      </c>
      <c r="E91" s="203">
        <f>IF($K91="","",INDEX('_Datos'!$G$7:$G$200,$K91))</f>
      </c>
      <c r="F91" s="204">
        <f>IF($K91="","",INDEX('_Datos'!$H$7:$H$200,$K91))</f>
      </c>
      <c r="G91" s="202">
        <f>IF($K91="","",INDEX('_Datos'!$J$7:$J$200,$K91))</f>
      </c>
      <c r="H91" s="206">
        <f>IF($K91="","",INDEX('_Datos'!$K$7:$K$200,$K91))</f>
      </c>
      <c r="I91" s="205">
        <f>IF($K91="","",INDEX('_Datos'!$I$7:$I$200,$K91))</f>
      </c>
      <c r="K91" s="200">
        <f>IFERROR(MATCH(SMALL('_Datos'!$L$7:$L$200,ROW()-7+1),'_Datos'!$L$7:$L$200,0),"")</f>
      </c>
    </row>
    <row r="92">
      <c r="B92" s="202">
        <f>IF($K92="","",INDEX('_Datos'!$M$7:$M$200,$K92))</f>
      </c>
      <c r="C92" s="203">
        <f>IF($K92="","",INDEX('_Datos'!$D$7:$D$200,$K92))</f>
      </c>
      <c r="D92" s="203">
        <f>IF($K92="","",INDEX('_Datos'!$F$7:$F$200,$K92))</f>
      </c>
      <c r="E92" s="203">
        <f>IF($K92="","",INDEX('_Datos'!$G$7:$G$200,$K92))</f>
      </c>
      <c r="F92" s="204">
        <f>IF($K92="","",INDEX('_Datos'!$H$7:$H$200,$K92))</f>
      </c>
      <c r="G92" s="202">
        <f>IF($K92="","",INDEX('_Datos'!$J$7:$J$200,$K92))</f>
      </c>
      <c r="H92" s="206">
        <f>IF($K92="","",INDEX('_Datos'!$K$7:$K$200,$K92))</f>
      </c>
      <c r="I92" s="205">
        <f>IF($K92="","",INDEX('_Datos'!$I$7:$I$200,$K92))</f>
      </c>
      <c r="K92" s="200">
        <f>IFERROR(MATCH(SMALL('_Datos'!$L$7:$L$200,ROW()-7+1),'_Datos'!$L$7:$L$200,0),"")</f>
      </c>
    </row>
    <row r="93">
      <c r="B93" s="202">
        <f>IF($K93="","",INDEX('_Datos'!$M$7:$M$200,$K93))</f>
      </c>
      <c r="C93" s="203">
        <f>IF($K93="","",INDEX('_Datos'!$D$7:$D$200,$K93))</f>
      </c>
      <c r="D93" s="203">
        <f>IF($K93="","",INDEX('_Datos'!$F$7:$F$200,$K93))</f>
      </c>
      <c r="E93" s="203">
        <f>IF($K93="","",INDEX('_Datos'!$G$7:$G$200,$K93))</f>
      </c>
      <c r="F93" s="204">
        <f>IF($K93="","",INDEX('_Datos'!$H$7:$H$200,$K93))</f>
      </c>
      <c r="G93" s="202">
        <f>IF($K93="","",INDEX('_Datos'!$J$7:$J$200,$K93))</f>
      </c>
      <c r="H93" s="206">
        <f>IF($K93="","",INDEX('_Datos'!$K$7:$K$200,$K93))</f>
      </c>
      <c r="I93" s="205">
        <f>IF($K93="","",INDEX('_Datos'!$I$7:$I$200,$K93))</f>
      </c>
      <c r="K93" s="200">
        <f>IFERROR(MATCH(SMALL('_Datos'!$L$7:$L$200,ROW()-7+1),'_Datos'!$L$7:$L$200,0),"")</f>
      </c>
    </row>
    <row r="94">
      <c r="B94" s="202">
        <f>IF($K94="","",INDEX('_Datos'!$M$7:$M$200,$K94))</f>
      </c>
      <c r="C94" s="203">
        <f>IF($K94="","",INDEX('_Datos'!$D$7:$D$200,$K94))</f>
      </c>
      <c r="D94" s="203">
        <f>IF($K94="","",INDEX('_Datos'!$F$7:$F$200,$K94))</f>
      </c>
      <c r="E94" s="203">
        <f>IF($K94="","",INDEX('_Datos'!$G$7:$G$200,$K94))</f>
      </c>
      <c r="F94" s="204">
        <f>IF($K94="","",INDEX('_Datos'!$H$7:$H$200,$K94))</f>
      </c>
      <c r="G94" s="202">
        <f>IF($K94="","",INDEX('_Datos'!$J$7:$J$200,$K94))</f>
      </c>
      <c r="H94" s="206">
        <f>IF($K94="","",INDEX('_Datos'!$K$7:$K$200,$K94))</f>
      </c>
      <c r="I94" s="205">
        <f>IF($K94="","",INDEX('_Datos'!$I$7:$I$200,$K94))</f>
      </c>
      <c r="K94" s="200">
        <f>IFERROR(MATCH(SMALL('_Datos'!$L$7:$L$200,ROW()-7+1),'_Datos'!$L$7:$L$200,0),"")</f>
      </c>
    </row>
    <row r="95">
      <c r="B95" s="202">
        <f>IF($K95="","",INDEX('_Datos'!$M$7:$M$200,$K95))</f>
      </c>
      <c r="C95" s="203">
        <f>IF($K95="","",INDEX('_Datos'!$D$7:$D$200,$K95))</f>
      </c>
      <c r="D95" s="203">
        <f>IF($K95="","",INDEX('_Datos'!$F$7:$F$200,$K95))</f>
      </c>
      <c r="E95" s="203">
        <f>IF($K95="","",INDEX('_Datos'!$G$7:$G$200,$K95))</f>
      </c>
      <c r="F95" s="204">
        <f>IF($K95="","",INDEX('_Datos'!$H$7:$H$200,$K95))</f>
      </c>
      <c r="G95" s="202">
        <f>IF($K95="","",INDEX('_Datos'!$J$7:$J$200,$K95))</f>
      </c>
      <c r="H95" s="206">
        <f>IF($K95="","",INDEX('_Datos'!$K$7:$K$200,$K95))</f>
      </c>
      <c r="I95" s="205">
        <f>IF($K95="","",INDEX('_Datos'!$I$7:$I$200,$K95))</f>
      </c>
      <c r="K95" s="200">
        <f>IFERROR(MATCH(SMALL('_Datos'!$L$7:$L$200,ROW()-7+1),'_Datos'!$L$7:$L$200,0),"")</f>
      </c>
    </row>
    <row r="96">
      <c r="B96" s="202">
        <f>IF($K96="","",INDEX('_Datos'!$M$7:$M$200,$K96))</f>
      </c>
      <c r="C96" s="203">
        <f>IF($K96="","",INDEX('_Datos'!$D$7:$D$200,$K96))</f>
      </c>
      <c r="D96" s="203">
        <f>IF($K96="","",INDEX('_Datos'!$F$7:$F$200,$K96))</f>
      </c>
      <c r="E96" s="203">
        <f>IF($K96="","",INDEX('_Datos'!$G$7:$G$200,$K96))</f>
      </c>
      <c r="F96" s="204">
        <f>IF($K96="","",INDEX('_Datos'!$H$7:$H$200,$K96))</f>
      </c>
      <c r="G96" s="202">
        <f>IF($K96="","",INDEX('_Datos'!$J$7:$J$200,$K96))</f>
      </c>
      <c r="H96" s="206">
        <f>IF($K96="","",INDEX('_Datos'!$K$7:$K$200,$K96))</f>
      </c>
      <c r="I96" s="205">
        <f>IF($K96="","",INDEX('_Datos'!$I$7:$I$200,$K96))</f>
      </c>
      <c r="K96" s="200">
        <f>IFERROR(MATCH(SMALL('_Datos'!$L$7:$L$200,ROW()-7+1),'_Datos'!$L$7:$L$200,0),"")</f>
      </c>
    </row>
    <row r="97">
      <c r="B97" s="202">
        <f>IF($K97="","",INDEX('_Datos'!$M$7:$M$200,$K97))</f>
      </c>
      <c r="C97" s="203">
        <f>IF($K97="","",INDEX('_Datos'!$D$7:$D$200,$K97))</f>
      </c>
      <c r="D97" s="203">
        <f>IF($K97="","",INDEX('_Datos'!$F$7:$F$200,$K97))</f>
      </c>
      <c r="E97" s="203">
        <f>IF($K97="","",INDEX('_Datos'!$G$7:$G$200,$K97))</f>
      </c>
      <c r="F97" s="204">
        <f>IF($K97="","",INDEX('_Datos'!$H$7:$H$200,$K97))</f>
      </c>
      <c r="G97" s="202">
        <f>IF($K97="","",INDEX('_Datos'!$J$7:$J$200,$K97))</f>
      </c>
      <c r="H97" s="206">
        <f>IF($K97="","",INDEX('_Datos'!$K$7:$K$200,$K97))</f>
      </c>
      <c r="I97" s="205">
        <f>IF($K97="","",INDEX('_Datos'!$I$7:$I$200,$K97))</f>
      </c>
      <c r="K97" s="200">
        <f>IFERROR(MATCH(SMALL('_Datos'!$L$7:$L$200,ROW()-7+1),'_Datos'!$L$7:$L$200,0),"")</f>
      </c>
    </row>
    <row r="98">
      <c r="B98" s="202">
        <f>IF($K98="","",INDEX('_Datos'!$M$7:$M$200,$K98))</f>
      </c>
      <c r="C98" s="203">
        <f>IF($K98="","",INDEX('_Datos'!$D$7:$D$200,$K98))</f>
      </c>
      <c r="D98" s="203">
        <f>IF($K98="","",INDEX('_Datos'!$F$7:$F$200,$K98))</f>
      </c>
      <c r="E98" s="203">
        <f>IF($K98="","",INDEX('_Datos'!$G$7:$G$200,$K98))</f>
      </c>
      <c r="F98" s="204">
        <f>IF($K98="","",INDEX('_Datos'!$H$7:$H$200,$K98))</f>
      </c>
      <c r="G98" s="202">
        <f>IF($K98="","",INDEX('_Datos'!$J$7:$J$200,$K98))</f>
      </c>
      <c r="H98" s="206">
        <f>IF($K98="","",INDEX('_Datos'!$K$7:$K$200,$K98))</f>
      </c>
      <c r="I98" s="205">
        <f>IF($K98="","",INDEX('_Datos'!$I$7:$I$200,$K98))</f>
      </c>
      <c r="K98" s="200">
        <f>IFERROR(MATCH(SMALL('_Datos'!$L$7:$L$200,ROW()-7+1),'_Datos'!$L$7:$L$200,0),"")</f>
      </c>
    </row>
    <row r="99">
      <c r="B99" s="202">
        <f>IF($K99="","",INDEX('_Datos'!$M$7:$M$200,$K99))</f>
      </c>
      <c r="C99" s="203">
        <f>IF($K99="","",INDEX('_Datos'!$D$7:$D$200,$K99))</f>
      </c>
      <c r="D99" s="203">
        <f>IF($K99="","",INDEX('_Datos'!$F$7:$F$200,$K99))</f>
      </c>
      <c r="E99" s="203">
        <f>IF($K99="","",INDEX('_Datos'!$G$7:$G$200,$K99))</f>
      </c>
      <c r="F99" s="204">
        <f>IF($K99="","",INDEX('_Datos'!$H$7:$H$200,$K99))</f>
      </c>
      <c r="G99" s="202">
        <f>IF($K99="","",INDEX('_Datos'!$J$7:$J$200,$K99))</f>
      </c>
      <c r="H99" s="206">
        <f>IF($K99="","",INDEX('_Datos'!$K$7:$K$200,$K99))</f>
      </c>
      <c r="I99" s="205">
        <f>IF($K99="","",INDEX('_Datos'!$I$7:$I$200,$K99))</f>
      </c>
      <c r="K99" s="200">
        <f>IFERROR(MATCH(SMALL('_Datos'!$L$7:$L$200,ROW()-7+1),'_Datos'!$L$7:$L$200,0),"")</f>
      </c>
    </row>
    <row r="100">
      <c r="B100" s="202">
        <f>IF($K100="","",INDEX('_Datos'!$M$7:$M$200,$K100))</f>
      </c>
      <c r="C100" s="203">
        <f>IF($K100="","",INDEX('_Datos'!$D$7:$D$200,$K100))</f>
      </c>
      <c r="D100" s="203">
        <f>IF($K100="","",INDEX('_Datos'!$F$7:$F$200,$K100))</f>
      </c>
      <c r="E100" s="203">
        <f>IF($K100="","",INDEX('_Datos'!$G$7:$G$200,$K100))</f>
      </c>
      <c r="F100" s="204">
        <f>IF($K100="","",INDEX('_Datos'!$H$7:$H$200,$K100))</f>
      </c>
      <c r="G100" s="202">
        <f>IF($K100="","",INDEX('_Datos'!$J$7:$J$200,$K100))</f>
      </c>
      <c r="H100" s="206">
        <f>IF($K100="","",INDEX('_Datos'!$K$7:$K$200,$K100))</f>
      </c>
      <c r="I100" s="205">
        <f>IF($K100="","",INDEX('_Datos'!$I$7:$I$200,$K100))</f>
      </c>
      <c r="K100" s="200">
        <f>IFERROR(MATCH(SMALL('_Datos'!$L$7:$L$200,ROW()-7+1),'_Datos'!$L$7:$L$200,0),"")</f>
      </c>
    </row>
    <row r="101">
      <c r="B101" s="202">
        <f>IF($K101="","",INDEX('_Datos'!$M$7:$M$200,$K101))</f>
      </c>
      <c r="C101" s="203">
        <f>IF($K101="","",INDEX('_Datos'!$D$7:$D$200,$K101))</f>
      </c>
      <c r="D101" s="203">
        <f>IF($K101="","",INDEX('_Datos'!$F$7:$F$200,$K101))</f>
      </c>
      <c r="E101" s="203">
        <f>IF($K101="","",INDEX('_Datos'!$G$7:$G$200,$K101))</f>
      </c>
      <c r="F101" s="204">
        <f>IF($K101="","",INDEX('_Datos'!$H$7:$H$200,$K101))</f>
      </c>
      <c r="G101" s="202">
        <f>IF($K101="","",INDEX('_Datos'!$J$7:$J$200,$K101))</f>
      </c>
      <c r="H101" s="206">
        <f>IF($K101="","",INDEX('_Datos'!$K$7:$K$200,$K101))</f>
      </c>
      <c r="I101" s="205">
        <f>IF($K101="","",INDEX('_Datos'!$I$7:$I$200,$K101))</f>
      </c>
      <c r="K101" s="200">
        <f>IFERROR(MATCH(SMALL('_Datos'!$L$7:$L$200,ROW()-7+1),'_Datos'!$L$7:$L$200,0),"")</f>
      </c>
    </row>
    <row r="102">
      <c r="B102" s="202">
        <f>IF($K102="","",INDEX('_Datos'!$M$7:$M$200,$K102))</f>
      </c>
      <c r="C102" s="203">
        <f>IF($K102="","",INDEX('_Datos'!$D$7:$D$200,$K102))</f>
      </c>
      <c r="D102" s="203">
        <f>IF($K102="","",INDEX('_Datos'!$F$7:$F$200,$K102))</f>
      </c>
      <c r="E102" s="203">
        <f>IF($K102="","",INDEX('_Datos'!$G$7:$G$200,$K102))</f>
      </c>
      <c r="F102" s="204">
        <f>IF($K102="","",INDEX('_Datos'!$H$7:$H$200,$K102))</f>
      </c>
      <c r="G102" s="202">
        <f>IF($K102="","",INDEX('_Datos'!$J$7:$J$200,$K102))</f>
      </c>
      <c r="H102" s="206">
        <f>IF($K102="","",INDEX('_Datos'!$K$7:$K$200,$K102))</f>
      </c>
      <c r="I102" s="205">
        <f>IF($K102="","",INDEX('_Datos'!$I$7:$I$200,$K102))</f>
      </c>
      <c r="K102" s="200">
        <f>IFERROR(MATCH(SMALL('_Datos'!$L$7:$L$200,ROW()-7+1),'_Datos'!$L$7:$L$200,0),"")</f>
      </c>
    </row>
    <row r="103">
      <c r="B103" s="202">
        <f>IF($K103="","",INDEX('_Datos'!$M$7:$M$200,$K103))</f>
      </c>
      <c r="C103" s="203">
        <f>IF($K103="","",INDEX('_Datos'!$D$7:$D$200,$K103))</f>
      </c>
      <c r="D103" s="203">
        <f>IF($K103="","",INDEX('_Datos'!$F$7:$F$200,$K103))</f>
      </c>
      <c r="E103" s="203">
        <f>IF($K103="","",INDEX('_Datos'!$G$7:$G$200,$K103))</f>
      </c>
      <c r="F103" s="204">
        <f>IF($K103="","",INDEX('_Datos'!$H$7:$H$200,$K103))</f>
      </c>
      <c r="G103" s="202">
        <f>IF($K103="","",INDEX('_Datos'!$J$7:$J$200,$K103))</f>
      </c>
      <c r="H103" s="206">
        <f>IF($K103="","",INDEX('_Datos'!$K$7:$K$200,$K103))</f>
      </c>
      <c r="I103" s="205">
        <f>IF($K103="","",INDEX('_Datos'!$I$7:$I$200,$K103))</f>
      </c>
      <c r="K103" s="200">
        <f>IFERROR(MATCH(SMALL('_Datos'!$L$7:$L$200,ROW()-7+1),'_Datos'!$L$7:$L$200,0),"")</f>
      </c>
    </row>
    <row r="104">
      <c r="B104" s="202">
        <f>IF($K104="","",INDEX('_Datos'!$M$7:$M$200,$K104))</f>
      </c>
      <c r="C104" s="203">
        <f>IF($K104="","",INDEX('_Datos'!$D$7:$D$200,$K104))</f>
      </c>
      <c r="D104" s="203">
        <f>IF($K104="","",INDEX('_Datos'!$F$7:$F$200,$K104))</f>
      </c>
      <c r="E104" s="203">
        <f>IF($K104="","",INDEX('_Datos'!$G$7:$G$200,$K104))</f>
      </c>
      <c r="F104" s="204">
        <f>IF($K104="","",INDEX('_Datos'!$H$7:$H$200,$K104))</f>
      </c>
      <c r="G104" s="202">
        <f>IF($K104="","",INDEX('_Datos'!$J$7:$J$200,$K104))</f>
      </c>
      <c r="H104" s="206">
        <f>IF($K104="","",INDEX('_Datos'!$K$7:$K$200,$K104))</f>
      </c>
      <c r="I104" s="205">
        <f>IF($K104="","",INDEX('_Datos'!$I$7:$I$200,$K104))</f>
      </c>
      <c r="K104" s="200">
        <f>IFERROR(MATCH(SMALL('_Datos'!$L$7:$L$200,ROW()-7+1),'_Datos'!$L$7:$L$200,0),"")</f>
      </c>
    </row>
    <row r="105">
      <c r="B105" s="202">
        <f>IF($K105="","",INDEX('_Datos'!$M$7:$M$200,$K105))</f>
      </c>
      <c r="C105" s="203">
        <f>IF($K105="","",INDEX('_Datos'!$D$7:$D$200,$K105))</f>
      </c>
      <c r="D105" s="203">
        <f>IF($K105="","",INDEX('_Datos'!$F$7:$F$200,$K105))</f>
      </c>
      <c r="E105" s="203">
        <f>IF($K105="","",INDEX('_Datos'!$G$7:$G$200,$K105))</f>
      </c>
      <c r="F105" s="204">
        <f>IF($K105="","",INDEX('_Datos'!$H$7:$H$200,$K105))</f>
      </c>
      <c r="G105" s="202">
        <f>IF($K105="","",INDEX('_Datos'!$J$7:$J$200,$K105))</f>
      </c>
      <c r="H105" s="206">
        <f>IF($K105="","",INDEX('_Datos'!$K$7:$K$200,$K105))</f>
      </c>
      <c r="I105" s="205">
        <f>IF($K105="","",INDEX('_Datos'!$I$7:$I$200,$K105))</f>
      </c>
      <c r="K105" s="200">
        <f>IFERROR(MATCH(SMALL('_Datos'!$L$7:$L$200,ROW()-7+1),'_Datos'!$L$7:$L$200,0),"")</f>
      </c>
    </row>
    <row r="106">
      <c r="B106" s="202">
        <f>IF($K106="","",INDEX('_Datos'!$M$7:$M$200,$K106))</f>
      </c>
      <c r="C106" s="203">
        <f>IF($K106="","",INDEX('_Datos'!$D$7:$D$200,$K106))</f>
      </c>
      <c r="D106" s="203">
        <f>IF($K106="","",INDEX('_Datos'!$F$7:$F$200,$K106))</f>
      </c>
      <c r="E106" s="203">
        <f>IF($K106="","",INDEX('_Datos'!$G$7:$G$200,$K106))</f>
      </c>
      <c r="F106" s="204">
        <f>IF($K106="","",INDEX('_Datos'!$H$7:$H$200,$K106))</f>
      </c>
      <c r="G106" s="202">
        <f>IF($K106="","",INDEX('_Datos'!$J$7:$J$200,$K106))</f>
      </c>
      <c r="H106" s="206">
        <f>IF($K106="","",INDEX('_Datos'!$K$7:$K$200,$K106))</f>
      </c>
      <c r="I106" s="205">
        <f>IF($K106="","",INDEX('_Datos'!$I$7:$I$200,$K106))</f>
      </c>
      <c r="K106" s="200">
        <f>IFERROR(MATCH(SMALL('_Datos'!$L$7:$L$200,ROW()-7+1),'_Datos'!$L$7:$L$200,0),"")</f>
      </c>
    </row>
    <row r="107">
      <c r="B107" s="202">
        <f>IF($K107="","",INDEX('_Datos'!$M$7:$M$200,$K107))</f>
      </c>
      <c r="C107" s="203">
        <f>IF($K107="","",INDEX('_Datos'!$D$7:$D$200,$K107))</f>
      </c>
      <c r="D107" s="203">
        <f>IF($K107="","",INDEX('_Datos'!$F$7:$F$200,$K107))</f>
      </c>
      <c r="E107" s="203">
        <f>IF($K107="","",INDEX('_Datos'!$G$7:$G$200,$K107))</f>
      </c>
      <c r="F107" s="204">
        <f>IF($K107="","",INDEX('_Datos'!$H$7:$H$200,$K107))</f>
      </c>
      <c r="G107" s="202">
        <f>IF($K107="","",INDEX('_Datos'!$J$7:$J$200,$K107))</f>
      </c>
      <c r="H107" s="206">
        <f>IF($K107="","",INDEX('_Datos'!$K$7:$K$200,$K107))</f>
      </c>
      <c r="I107" s="205">
        <f>IF($K107="","",INDEX('_Datos'!$I$7:$I$200,$K107))</f>
      </c>
      <c r="K107" s="200">
        <f>IFERROR(MATCH(SMALL('_Datos'!$L$7:$L$200,ROW()-7+1),'_Datos'!$L$7:$L$200,0),"")</f>
      </c>
    </row>
    <row r="108">
      <c r="B108" s="202">
        <f>IF($K108="","",INDEX('_Datos'!$M$7:$M$200,$K108))</f>
      </c>
      <c r="C108" s="203">
        <f>IF($K108="","",INDEX('_Datos'!$D$7:$D$200,$K108))</f>
      </c>
      <c r="D108" s="203">
        <f>IF($K108="","",INDEX('_Datos'!$F$7:$F$200,$K108))</f>
      </c>
      <c r="E108" s="203">
        <f>IF($K108="","",INDEX('_Datos'!$G$7:$G$200,$K108))</f>
      </c>
      <c r="F108" s="204">
        <f>IF($K108="","",INDEX('_Datos'!$H$7:$H$200,$K108))</f>
      </c>
      <c r="G108" s="202">
        <f>IF($K108="","",INDEX('_Datos'!$J$7:$J$200,$K108))</f>
      </c>
      <c r="H108" s="206">
        <f>IF($K108="","",INDEX('_Datos'!$K$7:$K$200,$K108))</f>
      </c>
      <c r="I108" s="205">
        <f>IF($K108="","",INDEX('_Datos'!$I$7:$I$200,$K108))</f>
      </c>
      <c r="K108" s="200">
        <f>IFERROR(MATCH(SMALL('_Datos'!$L$7:$L$200,ROW()-7+1),'_Datos'!$L$7:$L$200,0),"")</f>
      </c>
    </row>
    <row r="109">
      <c r="B109" s="202">
        <f>IF($K109="","",INDEX('_Datos'!$M$7:$M$200,$K109))</f>
      </c>
      <c r="C109" s="203">
        <f>IF($K109="","",INDEX('_Datos'!$D$7:$D$200,$K109))</f>
      </c>
      <c r="D109" s="203">
        <f>IF($K109="","",INDEX('_Datos'!$F$7:$F$200,$K109))</f>
      </c>
      <c r="E109" s="203">
        <f>IF($K109="","",INDEX('_Datos'!$G$7:$G$200,$K109))</f>
      </c>
      <c r="F109" s="204">
        <f>IF($K109="","",INDEX('_Datos'!$H$7:$H$200,$K109))</f>
      </c>
      <c r="G109" s="202">
        <f>IF($K109="","",INDEX('_Datos'!$J$7:$J$200,$K109))</f>
      </c>
      <c r="H109" s="206">
        <f>IF($K109="","",INDEX('_Datos'!$K$7:$K$200,$K109))</f>
      </c>
      <c r="I109" s="205">
        <f>IF($K109="","",INDEX('_Datos'!$I$7:$I$200,$K109))</f>
      </c>
      <c r="K109" s="200">
        <f>IFERROR(MATCH(SMALL('_Datos'!$L$7:$L$200,ROW()-7+1),'_Datos'!$L$7:$L$200,0),"")</f>
      </c>
    </row>
    <row r="110">
      <c r="B110" s="202">
        <f>IF($K110="","",INDEX('_Datos'!$M$7:$M$200,$K110))</f>
      </c>
      <c r="C110" s="203">
        <f>IF($K110="","",INDEX('_Datos'!$D$7:$D$200,$K110))</f>
      </c>
      <c r="D110" s="203">
        <f>IF($K110="","",INDEX('_Datos'!$F$7:$F$200,$K110))</f>
      </c>
      <c r="E110" s="203">
        <f>IF($K110="","",INDEX('_Datos'!$G$7:$G$200,$K110))</f>
      </c>
      <c r="F110" s="204">
        <f>IF($K110="","",INDEX('_Datos'!$H$7:$H$200,$K110))</f>
      </c>
      <c r="G110" s="202">
        <f>IF($K110="","",INDEX('_Datos'!$J$7:$J$200,$K110))</f>
      </c>
      <c r="H110" s="206">
        <f>IF($K110="","",INDEX('_Datos'!$K$7:$K$200,$K110))</f>
      </c>
      <c r="I110" s="205">
        <f>IF($K110="","",INDEX('_Datos'!$I$7:$I$200,$K110))</f>
      </c>
      <c r="K110" s="200">
        <f>IFERROR(MATCH(SMALL('_Datos'!$L$7:$L$200,ROW()-7+1),'_Datos'!$L$7:$L$200,0),"")</f>
      </c>
    </row>
    <row r="111">
      <c r="B111" s="202">
        <f>IF($K111="","",INDEX('_Datos'!$M$7:$M$200,$K111))</f>
      </c>
      <c r="C111" s="203">
        <f>IF($K111="","",INDEX('_Datos'!$D$7:$D$200,$K111))</f>
      </c>
      <c r="D111" s="203">
        <f>IF($K111="","",INDEX('_Datos'!$F$7:$F$200,$K111))</f>
      </c>
      <c r="E111" s="203">
        <f>IF($K111="","",INDEX('_Datos'!$G$7:$G$200,$K111))</f>
      </c>
      <c r="F111" s="204">
        <f>IF($K111="","",INDEX('_Datos'!$H$7:$H$200,$K111))</f>
      </c>
      <c r="G111" s="202">
        <f>IF($K111="","",INDEX('_Datos'!$J$7:$J$200,$K111))</f>
      </c>
      <c r="H111" s="206">
        <f>IF($K111="","",INDEX('_Datos'!$K$7:$K$200,$K111))</f>
      </c>
      <c r="I111" s="205">
        <f>IF($K111="","",INDEX('_Datos'!$I$7:$I$200,$K111))</f>
      </c>
      <c r="K111" s="200">
        <f>IFERROR(MATCH(SMALL('_Datos'!$L$7:$L$200,ROW()-7+1),'_Datos'!$L$7:$L$200,0),"")</f>
      </c>
    </row>
    <row r="112">
      <c r="B112" s="202">
        <f>IF($K112="","",INDEX('_Datos'!$M$7:$M$200,$K112))</f>
      </c>
      <c r="C112" s="203">
        <f>IF($K112="","",INDEX('_Datos'!$D$7:$D$200,$K112))</f>
      </c>
      <c r="D112" s="203">
        <f>IF($K112="","",INDEX('_Datos'!$F$7:$F$200,$K112))</f>
      </c>
      <c r="E112" s="203">
        <f>IF($K112="","",INDEX('_Datos'!$G$7:$G$200,$K112))</f>
      </c>
      <c r="F112" s="204">
        <f>IF($K112="","",INDEX('_Datos'!$H$7:$H$200,$K112))</f>
      </c>
      <c r="G112" s="202">
        <f>IF($K112="","",INDEX('_Datos'!$J$7:$J$200,$K112))</f>
      </c>
      <c r="H112" s="206">
        <f>IF($K112="","",INDEX('_Datos'!$K$7:$K$200,$K112))</f>
      </c>
      <c r="I112" s="205">
        <f>IF($K112="","",INDEX('_Datos'!$I$7:$I$200,$K112))</f>
      </c>
      <c r="K112" s="200">
        <f>IFERROR(MATCH(SMALL('_Datos'!$L$7:$L$200,ROW()-7+1),'_Datos'!$L$7:$L$200,0),"")</f>
      </c>
    </row>
    <row r="113">
      <c r="B113" s="202">
        <f>IF($K113="","",INDEX('_Datos'!$M$7:$M$200,$K113))</f>
      </c>
      <c r="C113" s="203">
        <f>IF($K113="","",INDEX('_Datos'!$D$7:$D$200,$K113))</f>
      </c>
      <c r="D113" s="203">
        <f>IF($K113="","",INDEX('_Datos'!$F$7:$F$200,$K113))</f>
      </c>
      <c r="E113" s="203">
        <f>IF($K113="","",INDEX('_Datos'!$G$7:$G$200,$K113))</f>
      </c>
      <c r="F113" s="204">
        <f>IF($K113="","",INDEX('_Datos'!$H$7:$H$200,$K113))</f>
      </c>
      <c r="G113" s="202">
        <f>IF($K113="","",INDEX('_Datos'!$J$7:$J$200,$K113))</f>
      </c>
      <c r="H113" s="206">
        <f>IF($K113="","",INDEX('_Datos'!$K$7:$K$200,$K113))</f>
      </c>
      <c r="I113" s="205">
        <f>IF($K113="","",INDEX('_Datos'!$I$7:$I$200,$K113))</f>
      </c>
      <c r="K113" s="200">
        <f>IFERROR(MATCH(SMALL('_Datos'!$L$7:$L$200,ROW()-7+1),'_Datos'!$L$7:$L$200,0),"")</f>
      </c>
    </row>
    <row r="114">
      <c r="B114" s="202">
        <f>IF($K114="","",INDEX('_Datos'!$M$7:$M$200,$K114))</f>
      </c>
      <c r="C114" s="203">
        <f>IF($K114="","",INDEX('_Datos'!$D$7:$D$200,$K114))</f>
      </c>
      <c r="D114" s="203">
        <f>IF($K114="","",INDEX('_Datos'!$F$7:$F$200,$K114))</f>
      </c>
      <c r="E114" s="203">
        <f>IF($K114="","",INDEX('_Datos'!$G$7:$G$200,$K114))</f>
      </c>
      <c r="F114" s="204">
        <f>IF($K114="","",INDEX('_Datos'!$H$7:$H$200,$K114))</f>
      </c>
      <c r="G114" s="202">
        <f>IF($K114="","",INDEX('_Datos'!$J$7:$J$200,$K114))</f>
      </c>
      <c r="H114" s="206">
        <f>IF($K114="","",INDEX('_Datos'!$K$7:$K$200,$K114))</f>
      </c>
      <c r="I114" s="205">
        <f>IF($K114="","",INDEX('_Datos'!$I$7:$I$200,$K114))</f>
      </c>
      <c r="K114" s="200">
        <f>IFERROR(MATCH(SMALL('_Datos'!$L$7:$L$200,ROW()-7+1),'_Datos'!$L$7:$L$200,0),"")</f>
      </c>
    </row>
    <row r="115">
      <c r="B115" s="202">
        <f>IF($K115="","",INDEX('_Datos'!$M$7:$M$200,$K115))</f>
      </c>
      <c r="C115" s="203">
        <f>IF($K115="","",INDEX('_Datos'!$D$7:$D$200,$K115))</f>
      </c>
      <c r="D115" s="203">
        <f>IF($K115="","",INDEX('_Datos'!$F$7:$F$200,$K115))</f>
      </c>
      <c r="E115" s="203">
        <f>IF($K115="","",INDEX('_Datos'!$G$7:$G$200,$K115))</f>
      </c>
      <c r="F115" s="204">
        <f>IF($K115="","",INDEX('_Datos'!$H$7:$H$200,$K115))</f>
      </c>
      <c r="G115" s="202">
        <f>IF($K115="","",INDEX('_Datos'!$J$7:$J$200,$K115))</f>
      </c>
      <c r="H115" s="206">
        <f>IF($K115="","",INDEX('_Datos'!$K$7:$K$200,$K115))</f>
      </c>
      <c r="I115" s="205">
        <f>IF($K115="","",INDEX('_Datos'!$I$7:$I$200,$K115))</f>
      </c>
      <c r="K115" s="200">
        <f>IFERROR(MATCH(SMALL('_Datos'!$L$7:$L$200,ROW()-7+1),'_Datos'!$L$7:$L$200,0),"")</f>
      </c>
    </row>
    <row r="116">
      <c r="B116" s="202">
        <f>IF($K116="","",INDEX('_Datos'!$M$7:$M$200,$K116))</f>
      </c>
      <c r="C116" s="203">
        <f>IF($K116="","",INDEX('_Datos'!$D$7:$D$200,$K116))</f>
      </c>
      <c r="D116" s="203">
        <f>IF($K116="","",INDEX('_Datos'!$F$7:$F$200,$K116))</f>
      </c>
      <c r="E116" s="203">
        <f>IF($K116="","",INDEX('_Datos'!$G$7:$G$200,$K116))</f>
      </c>
      <c r="F116" s="204">
        <f>IF($K116="","",INDEX('_Datos'!$H$7:$H$200,$K116))</f>
      </c>
      <c r="G116" s="202">
        <f>IF($K116="","",INDEX('_Datos'!$J$7:$J$200,$K116))</f>
      </c>
      <c r="H116" s="206">
        <f>IF($K116="","",INDEX('_Datos'!$K$7:$K$200,$K116))</f>
      </c>
      <c r="I116" s="205">
        <f>IF($K116="","",INDEX('_Datos'!$I$7:$I$200,$K116))</f>
      </c>
      <c r="K116" s="200">
        <f>IFERROR(MATCH(SMALL('_Datos'!$L$7:$L$200,ROW()-7+1),'_Datos'!$L$7:$L$200,0),"")</f>
      </c>
    </row>
    <row r="117">
      <c r="B117" s="202">
        <f>IF($K117="","",INDEX('_Datos'!$M$7:$M$200,$K117))</f>
      </c>
      <c r="C117" s="203">
        <f>IF($K117="","",INDEX('_Datos'!$D$7:$D$200,$K117))</f>
      </c>
      <c r="D117" s="203">
        <f>IF($K117="","",INDEX('_Datos'!$F$7:$F$200,$K117))</f>
      </c>
      <c r="E117" s="203">
        <f>IF($K117="","",INDEX('_Datos'!$G$7:$G$200,$K117))</f>
      </c>
      <c r="F117" s="204">
        <f>IF($K117="","",INDEX('_Datos'!$H$7:$H$200,$K117))</f>
      </c>
      <c r="G117" s="202">
        <f>IF($K117="","",INDEX('_Datos'!$J$7:$J$200,$K117))</f>
      </c>
      <c r="H117" s="206">
        <f>IF($K117="","",INDEX('_Datos'!$K$7:$K$200,$K117))</f>
      </c>
      <c r="I117" s="205">
        <f>IF($K117="","",INDEX('_Datos'!$I$7:$I$200,$K117))</f>
      </c>
      <c r="K117" s="200">
        <f>IFERROR(MATCH(SMALL('_Datos'!$L$7:$L$200,ROW()-7+1),'_Datos'!$L$7:$L$200,0),"")</f>
      </c>
    </row>
    <row r="118">
      <c r="B118" s="202">
        <f>IF($K118="","",INDEX('_Datos'!$M$7:$M$200,$K118))</f>
      </c>
      <c r="C118" s="203">
        <f>IF($K118="","",INDEX('_Datos'!$D$7:$D$200,$K118))</f>
      </c>
      <c r="D118" s="203">
        <f>IF($K118="","",INDEX('_Datos'!$F$7:$F$200,$K118))</f>
      </c>
      <c r="E118" s="203">
        <f>IF($K118="","",INDEX('_Datos'!$G$7:$G$200,$K118))</f>
      </c>
      <c r="F118" s="204">
        <f>IF($K118="","",INDEX('_Datos'!$H$7:$H$200,$K118))</f>
      </c>
      <c r="G118" s="202">
        <f>IF($K118="","",INDEX('_Datos'!$J$7:$J$200,$K118))</f>
      </c>
      <c r="H118" s="206">
        <f>IF($K118="","",INDEX('_Datos'!$K$7:$K$200,$K118))</f>
      </c>
      <c r="I118" s="205">
        <f>IF($K118="","",INDEX('_Datos'!$I$7:$I$200,$K118))</f>
      </c>
      <c r="K118" s="200">
        <f>IFERROR(MATCH(SMALL('_Datos'!$L$7:$L$200,ROW()-7+1),'_Datos'!$L$7:$L$200,0),"")</f>
      </c>
    </row>
    <row r="119">
      <c r="B119" s="202">
        <f>IF($K119="","",INDEX('_Datos'!$M$7:$M$200,$K119))</f>
      </c>
      <c r="C119" s="203">
        <f>IF($K119="","",INDEX('_Datos'!$D$7:$D$200,$K119))</f>
      </c>
      <c r="D119" s="203">
        <f>IF($K119="","",INDEX('_Datos'!$F$7:$F$200,$K119))</f>
      </c>
      <c r="E119" s="203">
        <f>IF($K119="","",INDEX('_Datos'!$G$7:$G$200,$K119))</f>
      </c>
      <c r="F119" s="204">
        <f>IF($K119="","",INDEX('_Datos'!$H$7:$H$200,$K119))</f>
      </c>
      <c r="G119" s="202">
        <f>IF($K119="","",INDEX('_Datos'!$J$7:$J$200,$K119))</f>
      </c>
      <c r="H119" s="206">
        <f>IF($K119="","",INDEX('_Datos'!$K$7:$K$200,$K119))</f>
      </c>
      <c r="I119" s="205">
        <f>IF($K119="","",INDEX('_Datos'!$I$7:$I$200,$K119))</f>
      </c>
      <c r="K119" s="200">
        <f>IFERROR(MATCH(SMALL('_Datos'!$L$7:$L$200,ROW()-7+1),'_Datos'!$L$7:$L$200,0),"")</f>
      </c>
    </row>
    <row r="120">
      <c r="B120" s="202">
        <f>IF($K120="","",INDEX('_Datos'!$M$7:$M$200,$K120))</f>
      </c>
      <c r="C120" s="203">
        <f>IF($K120="","",INDEX('_Datos'!$D$7:$D$200,$K120))</f>
      </c>
      <c r="D120" s="203">
        <f>IF($K120="","",INDEX('_Datos'!$F$7:$F$200,$K120))</f>
      </c>
      <c r="E120" s="203">
        <f>IF($K120="","",INDEX('_Datos'!$G$7:$G$200,$K120))</f>
      </c>
      <c r="F120" s="204">
        <f>IF($K120="","",INDEX('_Datos'!$H$7:$H$200,$K120))</f>
      </c>
      <c r="G120" s="202">
        <f>IF($K120="","",INDEX('_Datos'!$J$7:$J$200,$K120))</f>
      </c>
      <c r="H120" s="206">
        <f>IF($K120="","",INDEX('_Datos'!$K$7:$K$200,$K120))</f>
      </c>
      <c r="I120" s="205">
        <f>IF($K120="","",INDEX('_Datos'!$I$7:$I$200,$K120))</f>
      </c>
      <c r="K120" s="200">
        <f>IFERROR(MATCH(SMALL('_Datos'!$L$7:$L$200,ROW()-7+1),'_Datos'!$L$7:$L$200,0),"")</f>
      </c>
    </row>
    <row r="121">
      <c r="B121" s="202">
        <f>IF($K121="","",INDEX('_Datos'!$M$7:$M$200,$K121))</f>
      </c>
      <c r="C121" s="203">
        <f>IF($K121="","",INDEX('_Datos'!$D$7:$D$200,$K121))</f>
      </c>
      <c r="D121" s="203">
        <f>IF($K121="","",INDEX('_Datos'!$F$7:$F$200,$K121))</f>
      </c>
      <c r="E121" s="203">
        <f>IF($K121="","",INDEX('_Datos'!$G$7:$G$200,$K121))</f>
      </c>
      <c r="F121" s="204">
        <f>IF($K121="","",INDEX('_Datos'!$H$7:$H$200,$K121))</f>
      </c>
      <c r="G121" s="202">
        <f>IF($K121="","",INDEX('_Datos'!$J$7:$J$200,$K121))</f>
      </c>
      <c r="H121" s="206">
        <f>IF($K121="","",INDEX('_Datos'!$K$7:$K$200,$K121))</f>
      </c>
      <c r="I121" s="205">
        <f>IF($K121="","",INDEX('_Datos'!$I$7:$I$200,$K121))</f>
      </c>
      <c r="K121" s="200">
        <f>IFERROR(MATCH(SMALL('_Datos'!$L$7:$L$200,ROW()-7+1),'_Datos'!$L$7:$L$200,0),"")</f>
      </c>
    </row>
    <row r="122">
      <c r="B122" s="202">
        <f>IF($K122="","",INDEX('_Datos'!$M$7:$M$200,$K122))</f>
      </c>
      <c r="C122" s="203">
        <f>IF($K122="","",INDEX('_Datos'!$D$7:$D$200,$K122))</f>
      </c>
      <c r="D122" s="203">
        <f>IF($K122="","",INDEX('_Datos'!$F$7:$F$200,$K122))</f>
      </c>
      <c r="E122" s="203">
        <f>IF($K122="","",INDEX('_Datos'!$G$7:$G$200,$K122))</f>
      </c>
      <c r="F122" s="204">
        <f>IF($K122="","",INDEX('_Datos'!$H$7:$H$200,$K122))</f>
      </c>
      <c r="G122" s="202">
        <f>IF($K122="","",INDEX('_Datos'!$J$7:$J$200,$K122))</f>
      </c>
      <c r="H122" s="206">
        <f>IF($K122="","",INDEX('_Datos'!$K$7:$K$200,$K122))</f>
      </c>
      <c r="I122" s="205">
        <f>IF($K122="","",INDEX('_Datos'!$I$7:$I$200,$K122))</f>
      </c>
      <c r="K122" s="200">
        <f>IFERROR(MATCH(SMALL('_Datos'!$L$7:$L$200,ROW()-7+1),'_Datos'!$L$7:$L$200,0),"")</f>
      </c>
    </row>
    <row r="123">
      <c r="B123" s="202">
        <f>IF($K123="","",INDEX('_Datos'!$M$7:$M$200,$K123))</f>
      </c>
      <c r="C123" s="203">
        <f>IF($K123="","",INDEX('_Datos'!$D$7:$D$200,$K123))</f>
      </c>
      <c r="D123" s="203">
        <f>IF($K123="","",INDEX('_Datos'!$F$7:$F$200,$K123))</f>
      </c>
      <c r="E123" s="203">
        <f>IF($K123="","",INDEX('_Datos'!$G$7:$G$200,$K123))</f>
      </c>
      <c r="F123" s="204">
        <f>IF($K123="","",INDEX('_Datos'!$H$7:$H$200,$K123))</f>
      </c>
      <c r="G123" s="202">
        <f>IF($K123="","",INDEX('_Datos'!$J$7:$J$200,$K123))</f>
      </c>
      <c r="H123" s="206">
        <f>IF($K123="","",INDEX('_Datos'!$K$7:$K$200,$K123))</f>
      </c>
      <c r="I123" s="205">
        <f>IF($K123="","",INDEX('_Datos'!$I$7:$I$200,$K123))</f>
      </c>
      <c r="K123" s="200">
        <f>IFERROR(MATCH(SMALL('_Datos'!$L$7:$L$200,ROW()-7+1),'_Datos'!$L$7:$L$200,0),"")</f>
      </c>
    </row>
    <row r="124">
      <c r="B124" s="202">
        <f>IF($K124="","",INDEX('_Datos'!$M$7:$M$200,$K124))</f>
      </c>
      <c r="C124" s="203">
        <f>IF($K124="","",INDEX('_Datos'!$D$7:$D$200,$K124))</f>
      </c>
      <c r="D124" s="203">
        <f>IF($K124="","",INDEX('_Datos'!$F$7:$F$200,$K124))</f>
      </c>
      <c r="E124" s="203">
        <f>IF($K124="","",INDEX('_Datos'!$G$7:$G$200,$K124))</f>
      </c>
      <c r="F124" s="204">
        <f>IF($K124="","",INDEX('_Datos'!$H$7:$H$200,$K124))</f>
      </c>
      <c r="G124" s="202">
        <f>IF($K124="","",INDEX('_Datos'!$J$7:$J$200,$K124))</f>
      </c>
      <c r="H124" s="206">
        <f>IF($K124="","",INDEX('_Datos'!$K$7:$K$200,$K124))</f>
      </c>
      <c r="I124" s="205">
        <f>IF($K124="","",INDEX('_Datos'!$I$7:$I$200,$K124))</f>
      </c>
      <c r="K124" s="200">
        <f>IFERROR(MATCH(SMALL('_Datos'!$L$7:$L$200,ROW()-7+1),'_Datos'!$L$7:$L$200,0),"")</f>
      </c>
    </row>
    <row r="125">
      <c r="B125" s="202">
        <f>IF($K125="","",INDEX('_Datos'!$M$7:$M$200,$K125))</f>
      </c>
      <c r="C125" s="203">
        <f>IF($K125="","",INDEX('_Datos'!$D$7:$D$200,$K125))</f>
      </c>
      <c r="D125" s="203">
        <f>IF($K125="","",INDEX('_Datos'!$F$7:$F$200,$K125))</f>
      </c>
      <c r="E125" s="203">
        <f>IF($K125="","",INDEX('_Datos'!$G$7:$G$200,$K125))</f>
      </c>
      <c r="F125" s="204">
        <f>IF($K125="","",INDEX('_Datos'!$H$7:$H$200,$K125))</f>
      </c>
      <c r="G125" s="202">
        <f>IF($K125="","",INDEX('_Datos'!$J$7:$J$200,$K125))</f>
      </c>
      <c r="H125" s="206">
        <f>IF($K125="","",INDEX('_Datos'!$K$7:$K$200,$K125))</f>
      </c>
      <c r="I125" s="205">
        <f>IF($K125="","",INDEX('_Datos'!$I$7:$I$200,$K125))</f>
      </c>
      <c r="K125" s="200">
        <f>IFERROR(MATCH(SMALL('_Datos'!$L$7:$L$200,ROW()-7+1),'_Datos'!$L$7:$L$200,0),"")</f>
      </c>
    </row>
    <row r="126">
      <c r="B126" s="202">
        <f>IF($K126="","",INDEX('_Datos'!$M$7:$M$200,$K126))</f>
      </c>
      <c r="C126" s="203">
        <f>IF($K126="","",INDEX('_Datos'!$D$7:$D$200,$K126))</f>
      </c>
      <c r="D126" s="203">
        <f>IF($K126="","",INDEX('_Datos'!$F$7:$F$200,$K126))</f>
      </c>
      <c r="E126" s="203">
        <f>IF($K126="","",INDEX('_Datos'!$G$7:$G$200,$K126))</f>
      </c>
      <c r="F126" s="204">
        <f>IF($K126="","",INDEX('_Datos'!$H$7:$H$200,$K126))</f>
      </c>
      <c r="G126" s="202">
        <f>IF($K126="","",INDEX('_Datos'!$J$7:$J$200,$K126))</f>
      </c>
      <c r="H126" s="206">
        <f>IF($K126="","",INDEX('_Datos'!$K$7:$K$200,$K126))</f>
      </c>
      <c r="I126" s="205">
        <f>IF($K126="","",INDEX('_Datos'!$I$7:$I$200,$K126))</f>
      </c>
      <c r="K126" s="200">
        <f>IFERROR(MATCH(SMALL('_Datos'!$L$7:$L$200,ROW()-7+1),'_Datos'!$L$7:$L$200,0),"")</f>
      </c>
    </row>
    <row r="127">
      <c r="B127" s="202">
        <f>IF($K127="","",INDEX('_Datos'!$M$7:$M$200,$K127))</f>
      </c>
      <c r="C127" s="203">
        <f>IF($K127="","",INDEX('_Datos'!$D$7:$D$200,$K127))</f>
      </c>
      <c r="D127" s="203">
        <f>IF($K127="","",INDEX('_Datos'!$F$7:$F$200,$K127))</f>
      </c>
      <c r="E127" s="203">
        <f>IF($K127="","",INDEX('_Datos'!$G$7:$G$200,$K127))</f>
      </c>
      <c r="F127" s="204">
        <f>IF($K127="","",INDEX('_Datos'!$H$7:$H$200,$K127))</f>
      </c>
      <c r="G127" s="202">
        <f>IF($K127="","",INDEX('_Datos'!$J$7:$J$200,$K127))</f>
      </c>
      <c r="H127" s="206">
        <f>IF($K127="","",INDEX('_Datos'!$K$7:$K$200,$K127))</f>
      </c>
      <c r="I127" s="205">
        <f>IF($K127="","",INDEX('_Datos'!$I$7:$I$200,$K127))</f>
      </c>
      <c r="K127" s="200">
        <f>IFERROR(MATCH(SMALL('_Datos'!$L$7:$L$200,ROW()-7+1),'_Datos'!$L$7:$L$200,0),"")</f>
      </c>
    </row>
    <row r="128">
      <c r="B128" s="202">
        <f>IF($K128="","",INDEX('_Datos'!$M$7:$M$200,$K128))</f>
      </c>
      <c r="C128" s="203">
        <f>IF($K128="","",INDEX('_Datos'!$D$7:$D$200,$K128))</f>
      </c>
      <c r="D128" s="203">
        <f>IF($K128="","",INDEX('_Datos'!$F$7:$F$200,$K128))</f>
      </c>
      <c r="E128" s="203">
        <f>IF($K128="","",INDEX('_Datos'!$G$7:$G$200,$K128))</f>
      </c>
      <c r="F128" s="204">
        <f>IF($K128="","",INDEX('_Datos'!$H$7:$H$200,$K128))</f>
      </c>
      <c r="G128" s="202">
        <f>IF($K128="","",INDEX('_Datos'!$J$7:$J$200,$K128))</f>
      </c>
      <c r="H128" s="206">
        <f>IF($K128="","",INDEX('_Datos'!$K$7:$K$200,$K128))</f>
      </c>
      <c r="I128" s="205">
        <f>IF($K128="","",INDEX('_Datos'!$I$7:$I$200,$K128))</f>
      </c>
      <c r="K128" s="200">
        <f>IFERROR(MATCH(SMALL('_Datos'!$L$7:$L$200,ROW()-7+1),'_Datos'!$L$7:$L$200,0),"")</f>
      </c>
    </row>
    <row r="129">
      <c r="B129" s="202">
        <f>IF($K129="","",INDEX('_Datos'!$M$7:$M$200,$K129))</f>
      </c>
      <c r="C129" s="203">
        <f>IF($K129="","",INDEX('_Datos'!$D$7:$D$200,$K129))</f>
      </c>
      <c r="D129" s="203">
        <f>IF($K129="","",INDEX('_Datos'!$F$7:$F$200,$K129))</f>
      </c>
      <c r="E129" s="203">
        <f>IF($K129="","",INDEX('_Datos'!$G$7:$G$200,$K129))</f>
      </c>
      <c r="F129" s="204">
        <f>IF($K129="","",INDEX('_Datos'!$H$7:$H$200,$K129))</f>
      </c>
      <c r="G129" s="202">
        <f>IF($K129="","",INDEX('_Datos'!$J$7:$J$200,$K129))</f>
      </c>
      <c r="H129" s="206">
        <f>IF($K129="","",INDEX('_Datos'!$K$7:$K$200,$K129))</f>
      </c>
      <c r="I129" s="205">
        <f>IF($K129="","",INDEX('_Datos'!$I$7:$I$200,$K129))</f>
      </c>
      <c r="K129" s="200">
        <f>IFERROR(MATCH(SMALL('_Datos'!$L$7:$L$200,ROW()-7+1),'_Datos'!$L$7:$L$200,0),"")</f>
      </c>
    </row>
    <row r="130">
      <c r="B130" s="202">
        <f>IF($K130="","",INDEX('_Datos'!$M$7:$M$200,$K130))</f>
      </c>
      <c r="C130" s="203">
        <f>IF($K130="","",INDEX('_Datos'!$D$7:$D$200,$K130))</f>
      </c>
      <c r="D130" s="203">
        <f>IF($K130="","",INDEX('_Datos'!$F$7:$F$200,$K130))</f>
      </c>
      <c r="E130" s="203">
        <f>IF($K130="","",INDEX('_Datos'!$G$7:$G$200,$K130))</f>
      </c>
      <c r="F130" s="204">
        <f>IF($K130="","",INDEX('_Datos'!$H$7:$H$200,$K130))</f>
      </c>
      <c r="G130" s="202">
        <f>IF($K130="","",INDEX('_Datos'!$J$7:$J$200,$K130))</f>
      </c>
      <c r="H130" s="206">
        <f>IF($K130="","",INDEX('_Datos'!$K$7:$K$200,$K130))</f>
      </c>
      <c r="I130" s="205">
        <f>IF($K130="","",INDEX('_Datos'!$I$7:$I$200,$K130))</f>
      </c>
      <c r="K130" s="200">
        <f>IFERROR(MATCH(SMALL('_Datos'!$L$7:$L$200,ROW()-7+1),'_Datos'!$L$7:$L$200,0),"")</f>
      </c>
    </row>
    <row r="131">
      <c r="B131" s="202">
        <f>IF($K131="","",INDEX('_Datos'!$M$7:$M$200,$K131))</f>
      </c>
      <c r="C131" s="203">
        <f>IF($K131="","",INDEX('_Datos'!$D$7:$D$200,$K131))</f>
      </c>
      <c r="D131" s="203">
        <f>IF($K131="","",INDEX('_Datos'!$F$7:$F$200,$K131))</f>
      </c>
      <c r="E131" s="203">
        <f>IF($K131="","",INDEX('_Datos'!$G$7:$G$200,$K131))</f>
      </c>
      <c r="F131" s="204">
        <f>IF($K131="","",INDEX('_Datos'!$H$7:$H$200,$K131))</f>
      </c>
      <c r="G131" s="202">
        <f>IF($K131="","",INDEX('_Datos'!$J$7:$J$200,$K131))</f>
      </c>
      <c r="H131" s="206">
        <f>IF($K131="","",INDEX('_Datos'!$K$7:$K$200,$K131))</f>
      </c>
      <c r="I131" s="205">
        <f>IF($K131="","",INDEX('_Datos'!$I$7:$I$200,$K131))</f>
      </c>
      <c r="K131" s="200">
        <f>IFERROR(MATCH(SMALL('_Datos'!$L$7:$L$200,ROW()-7+1),'_Datos'!$L$7:$L$200,0),"")</f>
      </c>
    </row>
    <row r="132">
      <c r="B132" s="202">
        <f>IF($K132="","",INDEX('_Datos'!$M$7:$M$200,$K132))</f>
      </c>
      <c r="C132" s="203">
        <f>IF($K132="","",INDEX('_Datos'!$D$7:$D$200,$K132))</f>
      </c>
      <c r="D132" s="203">
        <f>IF($K132="","",INDEX('_Datos'!$F$7:$F$200,$K132))</f>
      </c>
      <c r="E132" s="203">
        <f>IF($K132="","",INDEX('_Datos'!$G$7:$G$200,$K132))</f>
      </c>
      <c r="F132" s="204">
        <f>IF($K132="","",INDEX('_Datos'!$H$7:$H$200,$K132))</f>
      </c>
      <c r="G132" s="202">
        <f>IF($K132="","",INDEX('_Datos'!$J$7:$J$200,$K132))</f>
      </c>
      <c r="H132" s="206">
        <f>IF($K132="","",INDEX('_Datos'!$K$7:$K$200,$K132))</f>
      </c>
      <c r="I132" s="205">
        <f>IF($K132="","",INDEX('_Datos'!$I$7:$I$200,$K132))</f>
      </c>
      <c r="K132" s="200">
        <f>IFERROR(MATCH(SMALL('_Datos'!$L$7:$L$200,ROW()-7+1),'_Datos'!$L$7:$L$200,0),"")</f>
      </c>
    </row>
    <row r="133">
      <c r="B133" s="202">
        <f>IF($K133="","",INDEX('_Datos'!$M$7:$M$200,$K133))</f>
      </c>
      <c r="C133" s="203">
        <f>IF($K133="","",INDEX('_Datos'!$D$7:$D$200,$K133))</f>
      </c>
      <c r="D133" s="203">
        <f>IF($K133="","",INDEX('_Datos'!$F$7:$F$200,$K133))</f>
      </c>
      <c r="E133" s="203">
        <f>IF($K133="","",INDEX('_Datos'!$G$7:$G$200,$K133))</f>
      </c>
      <c r="F133" s="204">
        <f>IF($K133="","",INDEX('_Datos'!$H$7:$H$200,$K133))</f>
      </c>
      <c r="G133" s="202">
        <f>IF($K133="","",INDEX('_Datos'!$J$7:$J$200,$K133))</f>
      </c>
      <c r="H133" s="206">
        <f>IF($K133="","",INDEX('_Datos'!$K$7:$K$200,$K133))</f>
      </c>
      <c r="I133" s="205">
        <f>IF($K133="","",INDEX('_Datos'!$I$7:$I$200,$K133))</f>
      </c>
      <c r="K133" s="200">
        <f>IFERROR(MATCH(SMALL('_Datos'!$L$7:$L$200,ROW()-7+1),'_Datos'!$L$7:$L$200,0),"")</f>
      </c>
    </row>
    <row r="134">
      <c r="B134" s="202">
        <f>IF($K134="","",INDEX('_Datos'!$M$7:$M$200,$K134))</f>
      </c>
      <c r="C134" s="203">
        <f>IF($K134="","",INDEX('_Datos'!$D$7:$D$200,$K134))</f>
      </c>
      <c r="D134" s="203">
        <f>IF($K134="","",INDEX('_Datos'!$F$7:$F$200,$K134))</f>
      </c>
      <c r="E134" s="203">
        <f>IF($K134="","",INDEX('_Datos'!$G$7:$G$200,$K134))</f>
      </c>
      <c r="F134" s="204">
        <f>IF($K134="","",INDEX('_Datos'!$H$7:$H$200,$K134))</f>
      </c>
      <c r="G134" s="202">
        <f>IF($K134="","",INDEX('_Datos'!$J$7:$J$200,$K134))</f>
      </c>
      <c r="H134" s="206">
        <f>IF($K134="","",INDEX('_Datos'!$K$7:$K$200,$K134))</f>
      </c>
      <c r="I134" s="205">
        <f>IF($K134="","",INDEX('_Datos'!$I$7:$I$200,$K134))</f>
      </c>
      <c r="K134" s="200">
        <f>IFERROR(MATCH(SMALL('_Datos'!$L$7:$L$200,ROW()-7+1),'_Datos'!$L$7:$L$200,0),"")</f>
      </c>
    </row>
    <row r="135">
      <c r="B135" s="202">
        <f>IF($K135="","",INDEX('_Datos'!$M$7:$M$200,$K135))</f>
      </c>
      <c r="C135" s="203">
        <f>IF($K135="","",INDEX('_Datos'!$D$7:$D$200,$K135))</f>
      </c>
      <c r="D135" s="203">
        <f>IF($K135="","",INDEX('_Datos'!$F$7:$F$200,$K135))</f>
      </c>
      <c r="E135" s="203">
        <f>IF($K135="","",INDEX('_Datos'!$G$7:$G$200,$K135))</f>
      </c>
      <c r="F135" s="204">
        <f>IF($K135="","",INDEX('_Datos'!$H$7:$H$200,$K135))</f>
      </c>
      <c r="G135" s="202">
        <f>IF($K135="","",INDEX('_Datos'!$J$7:$J$200,$K135))</f>
      </c>
      <c r="H135" s="206">
        <f>IF($K135="","",INDEX('_Datos'!$K$7:$K$200,$K135))</f>
      </c>
      <c r="I135" s="205">
        <f>IF($K135="","",INDEX('_Datos'!$I$7:$I$200,$K135))</f>
      </c>
      <c r="K135" s="200">
        <f>IFERROR(MATCH(SMALL('_Datos'!$L$7:$L$200,ROW()-7+1),'_Datos'!$L$7:$L$200,0),"")</f>
      </c>
    </row>
    <row r="136">
      <c r="B136" s="202">
        <f>IF($K136="","",INDEX('_Datos'!$M$7:$M$200,$K136))</f>
      </c>
      <c r="C136" s="203">
        <f>IF($K136="","",INDEX('_Datos'!$D$7:$D$200,$K136))</f>
      </c>
      <c r="D136" s="203">
        <f>IF($K136="","",INDEX('_Datos'!$F$7:$F$200,$K136))</f>
      </c>
      <c r="E136" s="203">
        <f>IF($K136="","",INDEX('_Datos'!$G$7:$G$200,$K136))</f>
      </c>
      <c r="F136" s="204">
        <f>IF($K136="","",INDEX('_Datos'!$H$7:$H$200,$K136))</f>
      </c>
      <c r="G136" s="202">
        <f>IF($K136="","",INDEX('_Datos'!$J$7:$J$200,$K136))</f>
      </c>
      <c r="H136" s="206">
        <f>IF($K136="","",INDEX('_Datos'!$K$7:$K$200,$K136))</f>
      </c>
      <c r="I136" s="205">
        <f>IF($K136="","",INDEX('_Datos'!$I$7:$I$200,$K136))</f>
      </c>
      <c r="K136" s="200">
        <f>IFERROR(MATCH(SMALL('_Datos'!$L$7:$L$200,ROW()-7+1),'_Datos'!$L$7:$L$200,0),"")</f>
      </c>
    </row>
    <row r="137">
      <c r="B137" s="202">
        <f>IF($K137="","",INDEX('_Datos'!$M$7:$M$200,$K137))</f>
      </c>
      <c r="C137" s="203">
        <f>IF($K137="","",INDEX('_Datos'!$D$7:$D$200,$K137))</f>
      </c>
      <c r="D137" s="203">
        <f>IF($K137="","",INDEX('_Datos'!$F$7:$F$200,$K137))</f>
      </c>
      <c r="E137" s="203">
        <f>IF($K137="","",INDEX('_Datos'!$G$7:$G$200,$K137))</f>
      </c>
      <c r="F137" s="204">
        <f>IF($K137="","",INDEX('_Datos'!$H$7:$H$200,$K137))</f>
      </c>
      <c r="G137" s="202">
        <f>IF($K137="","",INDEX('_Datos'!$J$7:$J$200,$K137))</f>
      </c>
      <c r="H137" s="206">
        <f>IF($K137="","",INDEX('_Datos'!$K$7:$K$200,$K137))</f>
      </c>
      <c r="I137" s="205">
        <f>IF($K137="","",INDEX('_Datos'!$I$7:$I$200,$K137))</f>
      </c>
      <c r="K137" s="200">
        <f>IFERROR(MATCH(SMALL('_Datos'!$L$7:$L$200,ROW()-7+1),'_Datos'!$L$7:$L$200,0),"")</f>
      </c>
    </row>
    <row r="138">
      <c r="B138" s="202">
        <f>IF($K138="","",INDEX('_Datos'!$M$7:$M$200,$K138))</f>
      </c>
      <c r="C138" s="203">
        <f>IF($K138="","",INDEX('_Datos'!$D$7:$D$200,$K138))</f>
      </c>
      <c r="D138" s="203">
        <f>IF($K138="","",INDEX('_Datos'!$F$7:$F$200,$K138))</f>
      </c>
      <c r="E138" s="203">
        <f>IF($K138="","",INDEX('_Datos'!$G$7:$G$200,$K138))</f>
      </c>
      <c r="F138" s="204">
        <f>IF($K138="","",INDEX('_Datos'!$H$7:$H$200,$K138))</f>
      </c>
      <c r="G138" s="202">
        <f>IF($K138="","",INDEX('_Datos'!$J$7:$J$200,$K138))</f>
      </c>
      <c r="H138" s="206">
        <f>IF($K138="","",INDEX('_Datos'!$K$7:$K$200,$K138))</f>
      </c>
      <c r="I138" s="205">
        <f>IF($K138="","",INDEX('_Datos'!$I$7:$I$200,$K138))</f>
      </c>
      <c r="K138" s="200">
        <f>IFERROR(MATCH(SMALL('_Datos'!$L$7:$L$200,ROW()-7+1),'_Datos'!$L$7:$L$200,0),"")</f>
      </c>
    </row>
    <row r="139">
      <c r="B139" s="202">
        <f>IF($K139="","",INDEX('_Datos'!$M$7:$M$200,$K139))</f>
      </c>
      <c r="C139" s="203">
        <f>IF($K139="","",INDEX('_Datos'!$D$7:$D$200,$K139))</f>
      </c>
      <c r="D139" s="203">
        <f>IF($K139="","",INDEX('_Datos'!$F$7:$F$200,$K139))</f>
      </c>
      <c r="E139" s="203">
        <f>IF($K139="","",INDEX('_Datos'!$G$7:$G$200,$K139))</f>
      </c>
      <c r="F139" s="204">
        <f>IF($K139="","",INDEX('_Datos'!$H$7:$H$200,$K139))</f>
      </c>
      <c r="G139" s="202">
        <f>IF($K139="","",INDEX('_Datos'!$J$7:$J$200,$K139))</f>
      </c>
      <c r="H139" s="206">
        <f>IF($K139="","",INDEX('_Datos'!$K$7:$K$200,$K139))</f>
      </c>
      <c r="I139" s="205">
        <f>IF($K139="","",INDEX('_Datos'!$I$7:$I$200,$K139))</f>
      </c>
      <c r="K139" s="200">
        <f>IFERROR(MATCH(SMALL('_Datos'!$L$7:$L$200,ROW()-7+1),'_Datos'!$L$7:$L$200,0),"")</f>
      </c>
    </row>
    <row r="140">
      <c r="B140" s="202">
        <f>IF($K140="","",INDEX('_Datos'!$M$7:$M$200,$K140))</f>
      </c>
      <c r="C140" s="203">
        <f>IF($K140="","",INDEX('_Datos'!$D$7:$D$200,$K140))</f>
      </c>
      <c r="D140" s="203">
        <f>IF($K140="","",INDEX('_Datos'!$F$7:$F$200,$K140))</f>
      </c>
      <c r="E140" s="203">
        <f>IF($K140="","",INDEX('_Datos'!$G$7:$G$200,$K140))</f>
      </c>
      <c r="F140" s="204">
        <f>IF($K140="","",INDEX('_Datos'!$H$7:$H$200,$K140))</f>
      </c>
      <c r="G140" s="202">
        <f>IF($K140="","",INDEX('_Datos'!$J$7:$J$200,$K140))</f>
      </c>
      <c r="H140" s="206">
        <f>IF($K140="","",INDEX('_Datos'!$K$7:$K$200,$K140))</f>
      </c>
      <c r="I140" s="205">
        <f>IF($K140="","",INDEX('_Datos'!$I$7:$I$200,$K140))</f>
      </c>
      <c r="K140" s="200">
        <f>IFERROR(MATCH(SMALL('_Datos'!$L$7:$L$200,ROW()-7+1),'_Datos'!$L$7:$L$200,0),"")</f>
      </c>
    </row>
    <row r="141">
      <c r="B141" s="202">
        <f>IF($K141="","",INDEX('_Datos'!$M$7:$M$200,$K141))</f>
      </c>
      <c r="C141" s="203">
        <f>IF($K141="","",INDEX('_Datos'!$D$7:$D$200,$K141))</f>
      </c>
      <c r="D141" s="203">
        <f>IF($K141="","",INDEX('_Datos'!$F$7:$F$200,$K141))</f>
      </c>
      <c r="E141" s="203">
        <f>IF($K141="","",INDEX('_Datos'!$G$7:$G$200,$K141))</f>
      </c>
      <c r="F141" s="204">
        <f>IF($K141="","",INDEX('_Datos'!$H$7:$H$200,$K141))</f>
      </c>
      <c r="G141" s="202">
        <f>IF($K141="","",INDEX('_Datos'!$J$7:$J$200,$K141))</f>
      </c>
      <c r="H141" s="206">
        <f>IF($K141="","",INDEX('_Datos'!$K$7:$K$200,$K141))</f>
      </c>
      <c r="I141" s="205">
        <f>IF($K141="","",INDEX('_Datos'!$I$7:$I$200,$K141))</f>
      </c>
      <c r="K141" s="200">
        <f>IFERROR(MATCH(SMALL('_Datos'!$L$7:$L$200,ROW()-7+1),'_Datos'!$L$7:$L$200,0),"")</f>
      </c>
    </row>
    <row r="142">
      <c r="B142" s="202">
        <f>IF($K142="","",INDEX('_Datos'!$M$7:$M$200,$K142))</f>
      </c>
      <c r="C142" s="203">
        <f>IF($K142="","",INDEX('_Datos'!$D$7:$D$200,$K142))</f>
      </c>
      <c r="D142" s="203">
        <f>IF($K142="","",INDEX('_Datos'!$F$7:$F$200,$K142))</f>
      </c>
      <c r="E142" s="203">
        <f>IF($K142="","",INDEX('_Datos'!$G$7:$G$200,$K142))</f>
      </c>
      <c r="F142" s="204">
        <f>IF($K142="","",INDEX('_Datos'!$H$7:$H$200,$K142))</f>
      </c>
      <c r="G142" s="202">
        <f>IF($K142="","",INDEX('_Datos'!$J$7:$J$200,$K142))</f>
      </c>
      <c r="H142" s="206">
        <f>IF($K142="","",INDEX('_Datos'!$K$7:$K$200,$K142))</f>
      </c>
      <c r="I142" s="205">
        <f>IF($K142="","",INDEX('_Datos'!$I$7:$I$200,$K142))</f>
      </c>
      <c r="K142" s="200">
        <f>IFERROR(MATCH(SMALL('_Datos'!$L$7:$L$200,ROW()-7+1),'_Datos'!$L$7:$L$200,0),"")</f>
      </c>
    </row>
    <row r="143">
      <c r="B143" s="202">
        <f>IF($K143="","",INDEX('_Datos'!$M$7:$M$200,$K143))</f>
      </c>
      <c r="C143" s="203">
        <f>IF($K143="","",INDEX('_Datos'!$D$7:$D$200,$K143))</f>
      </c>
      <c r="D143" s="203">
        <f>IF($K143="","",INDEX('_Datos'!$F$7:$F$200,$K143))</f>
      </c>
      <c r="E143" s="203">
        <f>IF($K143="","",INDEX('_Datos'!$G$7:$G$200,$K143))</f>
      </c>
      <c r="F143" s="204">
        <f>IF($K143="","",INDEX('_Datos'!$H$7:$H$200,$K143))</f>
      </c>
      <c r="G143" s="202">
        <f>IF($K143="","",INDEX('_Datos'!$J$7:$J$200,$K143))</f>
      </c>
      <c r="H143" s="206">
        <f>IF($K143="","",INDEX('_Datos'!$K$7:$K$200,$K143))</f>
      </c>
      <c r="I143" s="205">
        <f>IF($K143="","",INDEX('_Datos'!$I$7:$I$200,$K143))</f>
      </c>
      <c r="K143" s="200">
        <f>IFERROR(MATCH(SMALL('_Datos'!$L$7:$L$200,ROW()-7+1),'_Datos'!$L$7:$L$200,0),"")</f>
      </c>
    </row>
    <row r="144">
      <c r="B144" s="202">
        <f>IF($K144="","",INDEX('_Datos'!$M$7:$M$200,$K144))</f>
      </c>
      <c r="C144" s="203">
        <f>IF($K144="","",INDEX('_Datos'!$D$7:$D$200,$K144))</f>
      </c>
      <c r="D144" s="203">
        <f>IF($K144="","",INDEX('_Datos'!$F$7:$F$200,$K144))</f>
      </c>
      <c r="E144" s="203">
        <f>IF($K144="","",INDEX('_Datos'!$G$7:$G$200,$K144))</f>
      </c>
      <c r="F144" s="204">
        <f>IF($K144="","",INDEX('_Datos'!$H$7:$H$200,$K144))</f>
      </c>
      <c r="G144" s="202">
        <f>IF($K144="","",INDEX('_Datos'!$J$7:$J$200,$K144))</f>
      </c>
      <c r="H144" s="206">
        <f>IF($K144="","",INDEX('_Datos'!$K$7:$K$200,$K144))</f>
      </c>
      <c r="I144" s="205">
        <f>IF($K144="","",INDEX('_Datos'!$I$7:$I$200,$K144))</f>
      </c>
      <c r="K144" s="200">
        <f>IFERROR(MATCH(SMALL('_Datos'!$L$7:$L$200,ROW()-7+1),'_Datos'!$L$7:$L$200,0),"")</f>
      </c>
    </row>
    <row r="145">
      <c r="B145" s="202">
        <f>IF($K145="","",INDEX('_Datos'!$M$7:$M$200,$K145))</f>
      </c>
      <c r="C145" s="203">
        <f>IF($K145="","",INDEX('_Datos'!$D$7:$D$200,$K145))</f>
      </c>
      <c r="D145" s="203">
        <f>IF($K145="","",INDEX('_Datos'!$F$7:$F$200,$K145))</f>
      </c>
      <c r="E145" s="203">
        <f>IF($K145="","",INDEX('_Datos'!$G$7:$G$200,$K145))</f>
      </c>
      <c r="F145" s="204">
        <f>IF($K145="","",INDEX('_Datos'!$H$7:$H$200,$K145))</f>
      </c>
      <c r="G145" s="202">
        <f>IF($K145="","",INDEX('_Datos'!$J$7:$J$200,$K145))</f>
      </c>
      <c r="H145" s="206">
        <f>IF($K145="","",INDEX('_Datos'!$K$7:$K$200,$K145))</f>
      </c>
      <c r="I145" s="205">
        <f>IF($K145="","",INDEX('_Datos'!$I$7:$I$200,$K145))</f>
      </c>
      <c r="K145" s="200">
        <f>IFERROR(MATCH(SMALL('_Datos'!$L$7:$L$200,ROW()-7+1),'_Datos'!$L$7:$L$200,0),"")</f>
      </c>
    </row>
    <row r="146">
      <c r="B146" s="202">
        <f>IF($K146="","",INDEX('_Datos'!$M$7:$M$200,$K146))</f>
      </c>
      <c r="C146" s="203">
        <f>IF($K146="","",INDEX('_Datos'!$D$7:$D$200,$K146))</f>
      </c>
      <c r="D146" s="203">
        <f>IF($K146="","",INDEX('_Datos'!$F$7:$F$200,$K146))</f>
      </c>
      <c r="E146" s="203">
        <f>IF($K146="","",INDEX('_Datos'!$G$7:$G$200,$K146))</f>
      </c>
      <c r="F146" s="204">
        <f>IF($K146="","",INDEX('_Datos'!$H$7:$H$200,$K146))</f>
      </c>
      <c r="G146" s="202">
        <f>IF($K146="","",INDEX('_Datos'!$J$7:$J$200,$K146))</f>
      </c>
      <c r="H146" s="206">
        <f>IF($K146="","",INDEX('_Datos'!$K$7:$K$200,$K146))</f>
      </c>
      <c r="I146" s="205">
        <f>IF($K146="","",INDEX('_Datos'!$I$7:$I$200,$K146))</f>
      </c>
      <c r="K146" s="200">
        <f>IFERROR(MATCH(SMALL('_Datos'!$L$7:$L$200,ROW()-7+1),'_Datos'!$L$7:$L$200,0),"")</f>
      </c>
    </row>
    <row r="147">
      <c r="B147" s="202">
        <f>IF($K147="","",INDEX('_Datos'!$M$7:$M$200,$K147))</f>
      </c>
      <c r="C147" s="203">
        <f>IF($K147="","",INDEX('_Datos'!$D$7:$D$200,$K147))</f>
      </c>
      <c r="D147" s="203">
        <f>IF($K147="","",INDEX('_Datos'!$F$7:$F$200,$K147))</f>
      </c>
      <c r="E147" s="203">
        <f>IF($K147="","",INDEX('_Datos'!$G$7:$G$200,$K147))</f>
      </c>
      <c r="F147" s="204">
        <f>IF($K147="","",INDEX('_Datos'!$H$7:$H$200,$K147))</f>
      </c>
      <c r="G147" s="202">
        <f>IF($K147="","",INDEX('_Datos'!$J$7:$J$200,$K147))</f>
      </c>
      <c r="H147" s="206">
        <f>IF($K147="","",INDEX('_Datos'!$K$7:$K$200,$K147))</f>
      </c>
      <c r="I147" s="205">
        <f>IF($K147="","",INDEX('_Datos'!$I$7:$I$200,$K147))</f>
      </c>
      <c r="K147" s="200">
        <f>IFERROR(MATCH(SMALL('_Datos'!$L$7:$L$200,ROW()-7+1),'_Datos'!$L$7:$L$200,0),"")</f>
      </c>
    </row>
    <row r="148">
      <c r="B148" s="202">
        <f>IF($K148="","",INDEX('_Datos'!$M$7:$M$200,$K148))</f>
      </c>
      <c r="C148" s="203">
        <f>IF($K148="","",INDEX('_Datos'!$D$7:$D$200,$K148))</f>
      </c>
      <c r="D148" s="203">
        <f>IF($K148="","",INDEX('_Datos'!$F$7:$F$200,$K148))</f>
      </c>
      <c r="E148" s="203">
        <f>IF($K148="","",INDEX('_Datos'!$G$7:$G$200,$K148))</f>
      </c>
      <c r="F148" s="204">
        <f>IF($K148="","",INDEX('_Datos'!$H$7:$H$200,$K148))</f>
      </c>
      <c r="G148" s="202">
        <f>IF($K148="","",INDEX('_Datos'!$J$7:$J$200,$K148))</f>
      </c>
      <c r="H148" s="206">
        <f>IF($K148="","",INDEX('_Datos'!$K$7:$K$200,$K148))</f>
      </c>
      <c r="I148" s="205">
        <f>IF($K148="","",INDEX('_Datos'!$I$7:$I$200,$K148))</f>
      </c>
      <c r="K148" s="200">
        <f>IFERROR(MATCH(SMALL('_Datos'!$L$7:$L$200,ROW()-7+1),'_Datos'!$L$7:$L$200,0),"")</f>
      </c>
    </row>
    <row r="149">
      <c r="B149" s="202">
        <f>IF($K149="","",INDEX('_Datos'!$M$7:$M$200,$K149))</f>
      </c>
      <c r="C149" s="203">
        <f>IF($K149="","",INDEX('_Datos'!$D$7:$D$200,$K149))</f>
      </c>
      <c r="D149" s="203">
        <f>IF($K149="","",INDEX('_Datos'!$F$7:$F$200,$K149))</f>
      </c>
      <c r="E149" s="203">
        <f>IF($K149="","",INDEX('_Datos'!$G$7:$G$200,$K149))</f>
      </c>
      <c r="F149" s="204">
        <f>IF($K149="","",INDEX('_Datos'!$H$7:$H$200,$K149))</f>
      </c>
      <c r="G149" s="202">
        <f>IF($K149="","",INDEX('_Datos'!$J$7:$J$200,$K149))</f>
      </c>
      <c r="H149" s="206">
        <f>IF($K149="","",INDEX('_Datos'!$K$7:$K$200,$K149))</f>
      </c>
      <c r="I149" s="205">
        <f>IF($K149="","",INDEX('_Datos'!$I$7:$I$200,$K149))</f>
      </c>
      <c r="K149" s="200">
        <f>IFERROR(MATCH(SMALL('_Datos'!$L$7:$L$200,ROW()-7+1),'_Datos'!$L$7:$L$200,0),"")</f>
      </c>
    </row>
    <row r="150">
      <c r="B150" s="202">
        <f>IF($K150="","",INDEX('_Datos'!$M$7:$M$200,$K150))</f>
      </c>
      <c r="C150" s="203">
        <f>IF($K150="","",INDEX('_Datos'!$D$7:$D$200,$K150))</f>
      </c>
      <c r="D150" s="203">
        <f>IF($K150="","",INDEX('_Datos'!$F$7:$F$200,$K150))</f>
      </c>
      <c r="E150" s="203">
        <f>IF($K150="","",INDEX('_Datos'!$G$7:$G$200,$K150))</f>
      </c>
      <c r="F150" s="204">
        <f>IF($K150="","",INDEX('_Datos'!$H$7:$H$200,$K150))</f>
      </c>
      <c r="G150" s="202">
        <f>IF($K150="","",INDEX('_Datos'!$J$7:$J$200,$K150))</f>
      </c>
      <c r="H150" s="206">
        <f>IF($K150="","",INDEX('_Datos'!$K$7:$K$200,$K150))</f>
      </c>
      <c r="I150" s="205">
        <f>IF($K150="","",INDEX('_Datos'!$I$7:$I$200,$K150))</f>
      </c>
      <c r="K150" s="200">
        <f>IFERROR(MATCH(SMALL('_Datos'!$L$7:$L$200,ROW()-7+1),'_Datos'!$L$7:$L$200,0),"")</f>
      </c>
    </row>
    <row r="151">
      <c r="B151" s="202">
        <f>IF($K151="","",INDEX('_Datos'!$M$7:$M$200,$K151))</f>
      </c>
      <c r="C151" s="203">
        <f>IF($K151="","",INDEX('_Datos'!$D$7:$D$200,$K151))</f>
      </c>
      <c r="D151" s="203">
        <f>IF($K151="","",INDEX('_Datos'!$F$7:$F$200,$K151))</f>
      </c>
      <c r="E151" s="203">
        <f>IF($K151="","",INDEX('_Datos'!$G$7:$G$200,$K151))</f>
      </c>
      <c r="F151" s="204">
        <f>IF($K151="","",INDEX('_Datos'!$H$7:$H$200,$K151))</f>
      </c>
      <c r="G151" s="202">
        <f>IF($K151="","",INDEX('_Datos'!$J$7:$J$200,$K151))</f>
      </c>
      <c r="H151" s="206">
        <f>IF($K151="","",INDEX('_Datos'!$K$7:$K$200,$K151))</f>
      </c>
      <c r="I151" s="205">
        <f>IF($K151="","",INDEX('_Datos'!$I$7:$I$200,$K151))</f>
      </c>
      <c r="K151" s="200">
        <f>IFERROR(MATCH(SMALL('_Datos'!$L$7:$L$200,ROW()-7+1),'_Datos'!$L$7:$L$200,0),"")</f>
      </c>
    </row>
    <row r="152">
      <c r="B152" s="202">
        <f>IF($K152="","",INDEX('_Datos'!$M$7:$M$200,$K152))</f>
      </c>
      <c r="C152" s="203">
        <f>IF($K152="","",INDEX('_Datos'!$D$7:$D$200,$K152))</f>
      </c>
      <c r="D152" s="203">
        <f>IF($K152="","",INDEX('_Datos'!$F$7:$F$200,$K152))</f>
      </c>
      <c r="E152" s="203">
        <f>IF($K152="","",INDEX('_Datos'!$G$7:$G$200,$K152))</f>
      </c>
      <c r="F152" s="204">
        <f>IF($K152="","",INDEX('_Datos'!$H$7:$H$200,$K152))</f>
      </c>
      <c r="G152" s="202">
        <f>IF($K152="","",INDEX('_Datos'!$J$7:$J$200,$K152))</f>
      </c>
      <c r="H152" s="206">
        <f>IF($K152="","",INDEX('_Datos'!$K$7:$K$200,$K152))</f>
      </c>
      <c r="I152" s="205">
        <f>IF($K152="","",INDEX('_Datos'!$I$7:$I$200,$K152))</f>
      </c>
      <c r="K152" s="200">
        <f>IFERROR(MATCH(SMALL('_Datos'!$L$7:$L$200,ROW()-7+1),'_Datos'!$L$7:$L$200,0),"")</f>
      </c>
    </row>
    <row r="153">
      <c r="B153" s="202">
        <f>IF($K153="","",INDEX('_Datos'!$M$7:$M$200,$K153))</f>
      </c>
      <c r="C153" s="203">
        <f>IF($K153="","",INDEX('_Datos'!$D$7:$D$200,$K153))</f>
      </c>
      <c r="D153" s="203">
        <f>IF($K153="","",INDEX('_Datos'!$F$7:$F$200,$K153))</f>
      </c>
      <c r="E153" s="203">
        <f>IF($K153="","",INDEX('_Datos'!$G$7:$G$200,$K153))</f>
      </c>
      <c r="F153" s="204">
        <f>IF($K153="","",INDEX('_Datos'!$H$7:$H$200,$K153))</f>
      </c>
      <c r="G153" s="202">
        <f>IF($K153="","",INDEX('_Datos'!$J$7:$J$200,$K153))</f>
      </c>
      <c r="H153" s="206">
        <f>IF($K153="","",INDEX('_Datos'!$K$7:$K$200,$K153))</f>
      </c>
      <c r="I153" s="205">
        <f>IF($K153="","",INDEX('_Datos'!$I$7:$I$200,$K153))</f>
      </c>
      <c r="K153" s="200">
        <f>IFERROR(MATCH(SMALL('_Datos'!$L$7:$L$200,ROW()-7+1),'_Datos'!$L$7:$L$200,0),"")</f>
      </c>
    </row>
    <row r="154">
      <c r="B154" s="202">
        <f>IF($K154="","",INDEX('_Datos'!$M$7:$M$200,$K154))</f>
      </c>
      <c r="C154" s="203">
        <f>IF($K154="","",INDEX('_Datos'!$D$7:$D$200,$K154))</f>
      </c>
      <c r="D154" s="203">
        <f>IF($K154="","",INDEX('_Datos'!$F$7:$F$200,$K154))</f>
      </c>
      <c r="E154" s="203">
        <f>IF($K154="","",INDEX('_Datos'!$G$7:$G$200,$K154))</f>
      </c>
      <c r="F154" s="204">
        <f>IF($K154="","",INDEX('_Datos'!$H$7:$H$200,$K154))</f>
      </c>
      <c r="G154" s="202">
        <f>IF($K154="","",INDEX('_Datos'!$J$7:$J$200,$K154))</f>
      </c>
      <c r="H154" s="206">
        <f>IF($K154="","",INDEX('_Datos'!$K$7:$K$200,$K154))</f>
      </c>
      <c r="I154" s="205">
        <f>IF($K154="","",INDEX('_Datos'!$I$7:$I$200,$K154))</f>
      </c>
      <c r="K154" s="200">
        <f>IFERROR(MATCH(SMALL('_Datos'!$L$7:$L$200,ROW()-7+1),'_Datos'!$L$7:$L$200,0),"")</f>
      </c>
    </row>
    <row r="155">
      <c r="B155" s="202">
        <f>IF($K155="","",INDEX('_Datos'!$M$7:$M$200,$K155))</f>
      </c>
      <c r="C155" s="203">
        <f>IF($K155="","",INDEX('_Datos'!$D$7:$D$200,$K155))</f>
      </c>
      <c r="D155" s="203">
        <f>IF($K155="","",INDEX('_Datos'!$F$7:$F$200,$K155))</f>
      </c>
      <c r="E155" s="203">
        <f>IF($K155="","",INDEX('_Datos'!$G$7:$G$200,$K155))</f>
      </c>
      <c r="F155" s="204">
        <f>IF($K155="","",INDEX('_Datos'!$H$7:$H$200,$K155))</f>
      </c>
      <c r="G155" s="202">
        <f>IF($K155="","",INDEX('_Datos'!$J$7:$J$200,$K155))</f>
      </c>
      <c r="H155" s="206">
        <f>IF($K155="","",INDEX('_Datos'!$K$7:$K$200,$K155))</f>
      </c>
      <c r="I155" s="205">
        <f>IF($K155="","",INDEX('_Datos'!$I$7:$I$200,$K155))</f>
      </c>
      <c r="K155" s="200">
        <f>IFERROR(MATCH(SMALL('_Datos'!$L$7:$L$200,ROW()-7+1),'_Datos'!$L$7:$L$200,0),"")</f>
      </c>
    </row>
    <row r="156">
      <c r="B156" s="202">
        <f>IF($K156="","",INDEX('_Datos'!$M$7:$M$200,$K156))</f>
      </c>
      <c r="C156" s="203">
        <f>IF($K156="","",INDEX('_Datos'!$D$7:$D$200,$K156))</f>
      </c>
      <c r="D156" s="203">
        <f>IF($K156="","",INDEX('_Datos'!$F$7:$F$200,$K156))</f>
      </c>
      <c r="E156" s="203">
        <f>IF($K156="","",INDEX('_Datos'!$G$7:$G$200,$K156))</f>
      </c>
      <c r="F156" s="204">
        <f>IF($K156="","",INDEX('_Datos'!$H$7:$H$200,$K156))</f>
      </c>
      <c r="G156" s="202">
        <f>IF($K156="","",INDEX('_Datos'!$J$7:$J$200,$K156))</f>
      </c>
      <c r="H156" s="206">
        <f>IF($K156="","",INDEX('_Datos'!$K$7:$K$200,$K156))</f>
      </c>
      <c r="I156" s="205">
        <f>IF($K156="","",INDEX('_Datos'!$I$7:$I$200,$K156))</f>
      </c>
      <c r="K156" s="200">
        <f>IFERROR(MATCH(SMALL('_Datos'!$L$7:$L$200,ROW()-7+1),'_Datos'!$L$7:$L$200,0),"")</f>
      </c>
    </row>
  </sheetData>
  <mergeCells count="4">
    <mergeCell ref="B1:I1"/>
    <mergeCell ref="B2:I2"/>
    <mergeCell ref="G3:H3"/>
    <mergeCell ref="B5:I5"/>
  </mergeCells>
  <conditionalFormatting sqref="G7:H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I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Q200"/>
  <sheetFormatPr defaultRowHeight="15"/>
  <cols>
    <col min="1" max="1" width="6" customWidth="1"/>
    <col min="2" max="3" width="9" customWidth="1"/>
    <col min="4" max="4" width="40" customWidth="1"/>
    <col min="5" max="5" width="7" customWidth="1"/>
    <col min="6" max="6" width="40" customWidth="1"/>
    <col min="7" max="7" width="20" customWidth="1"/>
    <col min="8" max="8" width="12" customWidth="1"/>
    <col min="9" max="14" width="11" customWidth="1"/>
  </cols>
  <sheetData>
    <row r="1">
      <c r="A1" s="199" t="inlineStr">
        <is>
          <t xml:space="preserve">HOJA AUXILIAR — Motor de cálculo (no editar). Alimenta 'Tablero' y 'Entregas Próximas'.</t>
        </is>
      </c>
    </row>
    <row r="6">
      <c r="A6" s="173" t="inlineStr">
        <is>
          <t xml:space="preserve">Fila</t>
        </is>
      </c>
      <c r="B6" s="173" t="inlineStr">
        <is>
          <t xml:space="preserve">EsFase</t>
        </is>
      </c>
      <c r="C6" s="173" t="inlineStr">
        <is>
          <t xml:space="preserve">EsTarea</t>
        </is>
      </c>
      <c r="D6" s="173" t="inlineStr">
        <is>
          <t xml:space="preserve">Módulo (Entregable)</t>
        </is>
      </c>
      <c r="E6" s="173" t="inlineStr">
        <is>
          <t xml:space="preserve">SprintRaw</t>
        </is>
      </c>
      <c r="F6" s="173" t="inlineStr">
        <is>
          <t xml:space="preserve">Tarea</t>
        </is>
      </c>
      <c r="G6" s="173" t="inlineStr">
        <is>
          <t xml:space="preserve">Responsable</t>
        </is>
      </c>
      <c r="H6" s="173" t="inlineStr">
        <is>
          <t xml:space="preserve">FechaEntrega</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P6" s="173" t="inlineStr">
        <is>
          <t xml:space="preserve">CandSprint</t>
        </is>
      </c>
      <c r="Q6" s="173" t="inlineStr">
        <is>
          <t xml:space="preserve">SprintExiste</t>
        </is>
      </c>
    </row>
    <row r="7">
      <c r="A7" s="200">
        <f>ROW()</f>
      </c>
      <c r="B7" s="200">
        <f>ISTEXT('Proyecto Datos (OKR´s)'!$K7)</f>
      </c>
      <c r="C7" s="200">
        <f>AND(LEN('Proyecto Datos (OKR´s)'!$G7)&gt;0,NOT($B7),OR(ISNUMBER('Proyecto Datos (OKR´s)'!$F7),ISNUMBER('Proyecto Datos (OKR´s)'!$L7)))</f>
      </c>
      <c r="D7" s="201">
        <f>IF($C7,IFERROR(LOOKUP(2,1/((ISTEXT('Proyecto Datos (OKR´s)'!$K$7:$K7))*(LEN('Proyecto Datos (OKR´s)'!$G$7:$G7)&gt;0)),'Proyecto Datos (OKR´s)'!$G$7:$G7),""),"")</f>
      </c>
      <c r="E7" s="200">
        <f>IF($C7,'Proyecto Datos (OKR´s)'!$E7,"")</f>
      </c>
      <c r="F7" s="201">
        <f>IF($C7,'Proyecto Datos (OKR´s)'!$G7,"")</f>
      </c>
      <c r="G7" s="201">
        <f>IF($C7,IF('Proyecto Datos (OKR´s)'!$I7="","(Sin asignar)",'Proyecto Datos (OKR´s)'!$I7),"")</f>
      </c>
      <c r="H7" s="200">
        <f>IF($C7,IF(ISNUMBER('Proyecto Datos (OKR´s)'!$F7),'Proyecto Datos (OKR´s)'!$F7,'Proyecto Datos (OKR´s)'!$L7),"")</f>
      </c>
      <c r="I7" s="200">
        <f>IF($C7,'Proyecto Datos (OKR´s)'!$J7,"")</f>
      </c>
      <c r="J7" s="201">
        <f>IF($C7,IF($I7&gt;=1,"Completado",IF($H7&lt;TODAY(),"Vencido",IF(($H7-TODAY())&lt;='Entregas Próximas'!$I$3,"Próximo a vencer","En curso"))),"")</f>
      </c>
      <c r="K7" s="200">
        <f>IF($C7,$H7-TODAY(),"")</f>
      </c>
      <c r="L7" s="200">
        <f>IF($C7,$N7*1000000+$H7+ROW()/100000,"")</f>
      </c>
      <c r="M7" s="200">
        <f>IF($C7,IF('Proyecto Datos (OKR´s)'!$E7="","(Sin sprint)",'Proyecto Datos (OKR´s)'!$E7),"")</f>
      </c>
      <c r="N7" s="200">
        <f>IF($C7,IF('Proyecto Datos (OKR´s)'!$E7="",9999,'Proyecto Datos (OKR´s)'!$E7),"")</f>
      </c>
      <c r="P7" s="200">
        <f>ROW()-6</f>
      </c>
      <c r="Q7" s="200">
        <f>IF(COUNTIF($N$7:$N$200,$P7)&gt;0,$P7,"")</f>
      </c>
    </row>
    <row r="8">
      <c r="A8" s="200">
        <f>ROW()</f>
      </c>
      <c r="B8" s="200">
        <f>ISTEXT('Proyecto Datos (OKR´s)'!$K8)</f>
      </c>
      <c r="C8" s="200">
        <f>AND(LEN('Proyecto Datos (OKR´s)'!$G8)&gt;0,NOT($B8),OR(ISNUMBER('Proyecto Datos (OKR´s)'!$F8),ISNUMBER('Proyecto Datos (OKR´s)'!$L8)))</f>
      </c>
      <c r="D8" s="201">
        <f>IF($C8,IFERROR(LOOKUP(2,1/((ISTEXT('Proyecto Datos (OKR´s)'!$K$7:$K8))*(LEN('Proyecto Datos (OKR´s)'!$G$7:$G8)&gt;0)),'Proyecto Datos (OKR´s)'!$G$7:$G8),""),"")</f>
      </c>
      <c r="E8" s="200">
        <f>IF($C8,'Proyecto Datos (OKR´s)'!$E8,"")</f>
      </c>
      <c r="F8" s="201">
        <f>IF($C8,'Proyecto Datos (OKR´s)'!$G8,"")</f>
      </c>
      <c r="G8" s="201">
        <f>IF($C8,IF('Proyecto Datos (OKR´s)'!$I8="","(Sin asignar)",'Proyecto Datos (OKR´s)'!$I8),"")</f>
      </c>
      <c r="H8" s="200">
        <f>IF($C8,IF(ISNUMBER('Proyecto Datos (OKR´s)'!$F8),'Proyecto Datos (OKR´s)'!$F8,'Proyecto Datos (OKR´s)'!$L8),"")</f>
      </c>
      <c r="I8" s="200">
        <f>IF($C8,'Proyecto Datos (OKR´s)'!$J8,"")</f>
      </c>
      <c r="J8" s="201">
        <f>IF($C8,IF($I8&gt;=1,"Completado",IF($H8&lt;TODAY(),"Vencido",IF(($H8-TODAY())&lt;='Entregas Próximas'!$I$3,"Próximo a vencer","En curso"))),"")</f>
      </c>
      <c r="K8" s="200">
        <f>IF($C8,$H8-TODAY(),"")</f>
      </c>
      <c r="L8" s="200">
        <f>IF($C8,$N8*1000000+$H8+ROW()/100000,"")</f>
      </c>
      <c r="M8" s="200">
        <f>IF($C8,IF('Proyecto Datos (OKR´s)'!$E8="","(Sin sprint)",'Proyecto Datos (OKR´s)'!$E8),"")</f>
      </c>
      <c r="N8" s="200">
        <f>IF($C8,IF('Proyecto Datos (OKR´s)'!$E8="",9999,'Proyecto Datos (OKR´s)'!$E8),"")</f>
      </c>
      <c r="P8" s="200">
        <f>ROW()-6</f>
      </c>
      <c r="Q8" s="200">
        <f>IF(COUNTIF($N$7:$N$200,$P8)&gt;0,$P8,"")</f>
      </c>
    </row>
    <row r="9">
      <c r="A9" s="200">
        <f>ROW()</f>
      </c>
      <c r="B9" s="200">
        <f>ISTEXT('Proyecto Datos (OKR´s)'!$K9)</f>
      </c>
      <c r="C9" s="200">
        <f>AND(LEN('Proyecto Datos (OKR´s)'!$G9)&gt;0,NOT($B9),OR(ISNUMBER('Proyecto Datos (OKR´s)'!$F9),ISNUMBER('Proyecto Datos (OKR´s)'!$L9)))</f>
      </c>
      <c r="D9" s="201">
        <f>IF($C9,IFERROR(LOOKUP(2,1/((ISTEXT('Proyecto Datos (OKR´s)'!$K$7:$K9))*(LEN('Proyecto Datos (OKR´s)'!$G$7:$G9)&gt;0)),'Proyecto Datos (OKR´s)'!$G$7:$G9),""),"")</f>
      </c>
      <c r="E9" s="200">
        <f>IF($C9,'Proyecto Datos (OKR´s)'!$E9,"")</f>
      </c>
      <c r="F9" s="201">
        <f>IF($C9,'Proyecto Datos (OKR´s)'!$G9,"")</f>
      </c>
      <c r="G9" s="201">
        <f>IF($C9,IF('Proyecto Datos (OKR´s)'!$I9="","(Sin asignar)",'Proyecto Datos (OKR´s)'!$I9),"")</f>
      </c>
      <c r="H9" s="200">
        <f>IF($C9,IF(ISNUMBER('Proyecto Datos (OKR´s)'!$F9),'Proyecto Datos (OKR´s)'!$F9,'Proyecto Datos (OKR´s)'!$L9),"")</f>
      </c>
      <c r="I9" s="200">
        <f>IF($C9,'Proyecto Datos (OKR´s)'!$J9,"")</f>
      </c>
      <c r="J9" s="201">
        <f>IF($C9,IF($I9&gt;=1,"Completado",IF($H9&lt;TODAY(),"Vencido",IF(($H9-TODAY())&lt;='Entregas Próximas'!$I$3,"Próximo a vencer","En curso"))),"")</f>
      </c>
      <c r="K9" s="200">
        <f>IF($C9,$H9-TODAY(),"")</f>
      </c>
      <c r="L9" s="200">
        <f>IF($C9,$N9*1000000+$H9+ROW()/100000,"")</f>
      </c>
      <c r="M9" s="200">
        <f>IF($C9,IF('Proyecto Datos (OKR´s)'!$E9="","(Sin sprint)",'Proyecto Datos (OKR´s)'!$E9),"")</f>
      </c>
      <c r="N9" s="200">
        <f>IF($C9,IF('Proyecto Datos (OKR´s)'!$E9="",9999,'Proyecto Datos (OKR´s)'!$E9),"")</f>
      </c>
      <c r="P9" s="200">
        <f>ROW()-6</f>
      </c>
      <c r="Q9" s="200">
        <f>IF(COUNTIF($N$7:$N$200,$P9)&gt;0,$P9,"")</f>
      </c>
    </row>
    <row r="10">
      <c r="A10" s="200">
        <f>ROW()</f>
      </c>
      <c r="B10" s="200">
        <f>ISTEXT('Proyecto Datos (OKR´s)'!$K10)</f>
      </c>
      <c r="C10" s="200">
        <f>AND(LEN('Proyecto Datos (OKR´s)'!$G10)&gt;0,NOT($B10),OR(ISNUMBER('Proyecto Datos (OKR´s)'!$F10),ISNUMBER('Proyecto Datos (OKR´s)'!$L10)))</f>
      </c>
      <c r="D10" s="201">
        <f>IF($C10,IFERROR(LOOKUP(2,1/((ISTEXT('Proyecto Datos (OKR´s)'!$K$7:$K10))*(LEN('Proyecto Datos (OKR´s)'!$G$7:$G10)&gt;0)),'Proyecto Datos (OKR´s)'!$G$7:$G10),""),"")</f>
      </c>
      <c r="E10" s="200">
        <f>IF($C10,'Proyecto Datos (OKR´s)'!$E10,"")</f>
      </c>
      <c r="F10" s="201">
        <f>IF($C10,'Proyecto Datos (OKR´s)'!$G10,"")</f>
      </c>
      <c r="G10" s="201">
        <f>IF($C10,IF('Proyecto Datos (OKR´s)'!$I10="","(Sin asignar)",'Proyecto Datos (OKR´s)'!$I10),"")</f>
      </c>
      <c r="H10" s="200">
        <f>IF($C10,IF(ISNUMBER('Proyecto Datos (OKR´s)'!$F10),'Proyecto Datos (OKR´s)'!$F10,'Proyecto Datos (OKR´s)'!$L10),"")</f>
      </c>
      <c r="I10" s="200">
        <f>IF($C10,'Proyecto Datos (OKR´s)'!$J10,"")</f>
      </c>
      <c r="J10" s="201">
        <f>IF($C10,IF($I10&gt;=1,"Completado",IF($H10&lt;TODAY(),"Vencido",IF(($H10-TODAY())&lt;='Entregas Próximas'!$I$3,"Próximo a vencer","En curso"))),"")</f>
      </c>
      <c r="K10" s="200">
        <f>IF($C10,$H10-TODAY(),"")</f>
      </c>
      <c r="L10" s="200">
        <f>IF($C10,$N10*1000000+$H10+ROW()/100000,"")</f>
      </c>
      <c r="M10" s="200">
        <f>IF($C10,IF('Proyecto Datos (OKR´s)'!$E10="","(Sin sprint)",'Proyecto Datos (OKR´s)'!$E10),"")</f>
      </c>
      <c r="N10" s="200">
        <f>IF($C10,IF('Proyecto Datos (OKR´s)'!$E10="",9999,'Proyecto Datos (OKR´s)'!$E10),"")</f>
      </c>
      <c r="P10" s="200">
        <f>ROW()-6</f>
      </c>
      <c r="Q10" s="200">
        <f>IF(COUNTIF($N$7:$N$200,$P10)&gt;0,$P10,"")</f>
      </c>
    </row>
    <row r="11">
      <c r="A11" s="200">
        <f>ROW()</f>
      </c>
      <c r="B11" s="200">
        <f>ISTEXT('Proyecto Datos (OKR´s)'!$K11)</f>
      </c>
      <c r="C11" s="200">
        <f>AND(LEN('Proyecto Datos (OKR´s)'!$G11)&gt;0,NOT($B11),OR(ISNUMBER('Proyecto Datos (OKR´s)'!$F11),ISNUMBER('Proyecto Datos (OKR´s)'!$L11)))</f>
      </c>
      <c r="D11" s="201">
        <f>IF($C11,IFERROR(LOOKUP(2,1/((ISTEXT('Proyecto Datos (OKR´s)'!$K$7:$K11))*(LEN('Proyecto Datos (OKR´s)'!$G$7:$G11)&gt;0)),'Proyecto Datos (OKR´s)'!$G$7:$G11),""),"")</f>
      </c>
      <c r="E11" s="200">
        <f>IF($C11,'Proyecto Datos (OKR´s)'!$E11,"")</f>
      </c>
      <c r="F11" s="201">
        <f>IF($C11,'Proyecto Datos (OKR´s)'!$G11,"")</f>
      </c>
      <c r="G11" s="201">
        <f>IF($C11,IF('Proyecto Datos (OKR´s)'!$I11="","(Sin asignar)",'Proyecto Datos (OKR´s)'!$I11),"")</f>
      </c>
      <c r="H11" s="200">
        <f>IF($C11,IF(ISNUMBER('Proyecto Datos (OKR´s)'!$F11),'Proyecto Datos (OKR´s)'!$F11,'Proyecto Datos (OKR´s)'!$L11),"")</f>
      </c>
      <c r="I11" s="200">
        <f>IF($C11,'Proyecto Datos (OKR´s)'!$J11,"")</f>
      </c>
      <c r="J11" s="201">
        <f>IF($C11,IF($I11&gt;=1,"Completado",IF($H11&lt;TODAY(),"Vencido",IF(($H11-TODAY())&lt;='Entregas Próximas'!$I$3,"Próximo a vencer","En curso"))),"")</f>
      </c>
      <c r="K11" s="200">
        <f>IF($C11,$H11-TODAY(),"")</f>
      </c>
      <c r="L11" s="200">
        <f>IF($C11,$N11*1000000+$H11+ROW()/100000,"")</f>
      </c>
      <c r="M11" s="200">
        <f>IF($C11,IF('Proyecto Datos (OKR´s)'!$E11="","(Sin sprint)",'Proyecto Datos (OKR´s)'!$E11),"")</f>
      </c>
      <c r="N11" s="200">
        <f>IF($C11,IF('Proyecto Datos (OKR´s)'!$E11="",9999,'Proyecto Datos (OKR´s)'!$E11),"")</f>
      </c>
      <c r="P11" s="200">
        <f>ROW()-6</f>
      </c>
      <c r="Q11" s="200">
        <f>IF(COUNTIF($N$7:$N$200,$P11)&gt;0,$P11,"")</f>
      </c>
    </row>
    <row r="12">
      <c r="A12" s="200">
        <f>ROW()</f>
      </c>
      <c r="B12" s="200">
        <f>ISTEXT('Proyecto Datos (OKR´s)'!$K12)</f>
      </c>
      <c r="C12" s="200">
        <f>AND(LEN('Proyecto Datos (OKR´s)'!$G12)&gt;0,NOT($B12),OR(ISNUMBER('Proyecto Datos (OKR´s)'!$F12),ISNUMBER('Proyecto Datos (OKR´s)'!$L12)))</f>
      </c>
      <c r="D12" s="201">
        <f>IF($C12,IFERROR(LOOKUP(2,1/((ISTEXT('Proyecto Datos (OKR´s)'!$K$7:$K12))*(LEN('Proyecto Datos (OKR´s)'!$G$7:$G12)&gt;0)),'Proyecto Datos (OKR´s)'!$G$7:$G12),""),"")</f>
      </c>
      <c r="E12" s="200">
        <f>IF($C12,'Proyecto Datos (OKR´s)'!$E12,"")</f>
      </c>
      <c r="F12" s="201">
        <f>IF($C12,'Proyecto Datos (OKR´s)'!$G12,"")</f>
      </c>
      <c r="G12" s="201">
        <f>IF($C12,IF('Proyecto Datos (OKR´s)'!$I12="","(Sin asignar)",'Proyecto Datos (OKR´s)'!$I12),"")</f>
      </c>
      <c r="H12" s="200">
        <f>IF($C12,IF(ISNUMBER('Proyecto Datos (OKR´s)'!$F12),'Proyecto Datos (OKR´s)'!$F12,'Proyecto Datos (OKR´s)'!$L12),"")</f>
      </c>
      <c r="I12" s="200">
        <f>IF($C12,'Proyecto Datos (OKR´s)'!$J12,"")</f>
      </c>
      <c r="J12" s="201">
        <f>IF($C12,IF($I12&gt;=1,"Completado",IF($H12&lt;TODAY(),"Vencido",IF(($H12-TODAY())&lt;='Entregas Próximas'!$I$3,"Próximo a vencer","En curso"))),"")</f>
      </c>
      <c r="K12" s="200">
        <f>IF($C12,$H12-TODAY(),"")</f>
      </c>
      <c r="L12" s="200">
        <f>IF($C12,$N12*1000000+$H12+ROW()/100000,"")</f>
      </c>
      <c r="M12" s="200">
        <f>IF($C12,IF('Proyecto Datos (OKR´s)'!$E12="","(Sin sprint)",'Proyecto Datos (OKR´s)'!$E12),"")</f>
      </c>
      <c r="N12" s="200">
        <f>IF($C12,IF('Proyecto Datos (OKR´s)'!$E12="",9999,'Proyecto Datos (OKR´s)'!$E12),"")</f>
      </c>
      <c r="P12" s="200">
        <f>ROW()-6</f>
      </c>
      <c r="Q12" s="200">
        <f>IF(COUNTIF($N$7:$N$200,$P12)&gt;0,$P12,"")</f>
      </c>
    </row>
    <row r="13">
      <c r="A13" s="200">
        <f>ROW()</f>
      </c>
      <c r="B13" s="200">
        <f>ISTEXT('Proyecto Datos (OKR´s)'!$K13)</f>
      </c>
      <c r="C13" s="200">
        <f>AND(LEN('Proyecto Datos (OKR´s)'!$G13)&gt;0,NOT($B13),OR(ISNUMBER('Proyecto Datos (OKR´s)'!$F13),ISNUMBER('Proyecto Datos (OKR´s)'!$L13)))</f>
      </c>
      <c r="D13" s="201">
        <f>IF($C13,IFERROR(LOOKUP(2,1/((ISTEXT('Proyecto Datos (OKR´s)'!$K$7:$K13))*(LEN('Proyecto Datos (OKR´s)'!$G$7:$G13)&gt;0)),'Proyecto Datos (OKR´s)'!$G$7:$G13),""),"")</f>
      </c>
      <c r="E13" s="200">
        <f>IF($C13,'Proyecto Datos (OKR´s)'!$E13,"")</f>
      </c>
      <c r="F13" s="201">
        <f>IF($C13,'Proyecto Datos (OKR´s)'!$G13,"")</f>
      </c>
      <c r="G13" s="201">
        <f>IF($C13,IF('Proyecto Datos (OKR´s)'!$I13="","(Sin asignar)",'Proyecto Datos (OKR´s)'!$I13),"")</f>
      </c>
      <c r="H13" s="200">
        <f>IF($C13,IF(ISNUMBER('Proyecto Datos (OKR´s)'!$F13),'Proyecto Datos (OKR´s)'!$F13,'Proyecto Datos (OKR´s)'!$L13),"")</f>
      </c>
      <c r="I13" s="200">
        <f>IF($C13,'Proyecto Datos (OKR´s)'!$J13,"")</f>
      </c>
      <c r="J13" s="201">
        <f>IF($C13,IF($I13&gt;=1,"Completado",IF($H13&lt;TODAY(),"Vencido",IF(($H13-TODAY())&lt;='Entregas Próximas'!$I$3,"Próximo a vencer","En curso"))),"")</f>
      </c>
      <c r="K13" s="200">
        <f>IF($C13,$H13-TODAY(),"")</f>
      </c>
      <c r="L13" s="200">
        <f>IF($C13,$N13*1000000+$H13+ROW()/100000,"")</f>
      </c>
      <c r="M13" s="200">
        <f>IF($C13,IF('Proyecto Datos (OKR´s)'!$E13="","(Sin sprint)",'Proyecto Datos (OKR´s)'!$E13),"")</f>
      </c>
      <c r="N13" s="200">
        <f>IF($C13,IF('Proyecto Datos (OKR´s)'!$E13="",9999,'Proyecto Datos (OKR´s)'!$E13),"")</f>
      </c>
      <c r="P13" s="200">
        <f>ROW()-6</f>
      </c>
      <c r="Q13" s="200">
        <f>IF(COUNTIF($N$7:$N$200,$P13)&gt;0,$P13,"")</f>
      </c>
    </row>
    <row r="14">
      <c r="A14" s="200">
        <f>ROW()</f>
      </c>
      <c r="B14" s="200">
        <f>ISTEXT('Proyecto Datos (OKR´s)'!$K14)</f>
      </c>
      <c r="C14" s="200">
        <f>AND(LEN('Proyecto Datos (OKR´s)'!$G14)&gt;0,NOT($B14),OR(ISNUMBER('Proyecto Datos (OKR´s)'!$F14),ISNUMBER('Proyecto Datos (OKR´s)'!$L14)))</f>
      </c>
      <c r="D14" s="201">
        <f>IF($C14,IFERROR(LOOKUP(2,1/((ISTEXT('Proyecto Datos (OKR´s)'!$K$7:$K14))*(LEN('Proyecto Datos (OKR´s)'!$G$7:$G14)&gt;0)),'Proyecto Datos (OKR´s)'!$G$7:$G14),""),"")</f>
      </c>
      <c r="E14" s="200">
        <f>IF($C14,'Proyecto Datos (OKR´s)'!$E14,"")</f>
      </c>
      <c r="F14" s="201">
        <f>IF($C14,'Proyecto Datos (OKR´s)'!$G14,"")</f>
      </c>
      <c r="G14" s="201">
        <f>IF($C14,IF('Proyecto Datos (OKR´s)'!$I14="","(Sin asignar)",'Proyecto Datos (OKR´s)'!$I14),"")</f>
      </c>
      <c r="H14" s="200">
        <f>IF($C14,IF(ISNUMBER('Proyecto Datos (OKR´s)'!$F14),'Proyecto Datos (OKR´s)'!$F14,'Proyecto Datos (OKR´s)'!$L14),"")</f>
      </c>
      <c r="I14" s="200">
        <f>IF($C14,'Proyecto Datos (OKR´s)'!$J14,"")</f>
      </c>
      <c r="J14" s="201">
        <f>IF($C14,IF($I14&gt;=1,"Completado",IF($H14&lt;TODAY(),"Vencido",IF(($H14-TODAY())&lt;='Entregas Próximas'!$I$3,"Próximo a vencer","En curso"))),"")</f>
      </c>
      <c r="K14" s="200">
        <f>IF($C14,$H14-TODAY(),"")</f>
      </c>
      <c r="L14" s="200">
        <f>IF($C14,$N14*1000000+$H14+ROW()/100000,"")</f>
      </c>
      <c r="M14" s="200">
        <f>IF($C14,IF('Proyecto Datos (OKR´s)'!$E14="","(Sin sprint)",'Proyecto Datos (OKR´s)'!$E14),"")</f>
      </c>
      <c r="N14" s="200">
        <f>IF($C14,IF('Proyecto Datos (OKR´s)'!$E14="",9999,'Proyecto Datos (OKR´s)'!$E14),"")</f>
      </c>
      <c r="P14" s="200">
        <f>ROW()-6</f>
      </c>
      <c r="Q14" s="200">
        <f>IF(COUNTIF($N$7:$N$200,$P14)&gt;0,$P14,"")</f>
      </c>
    </row>
    <row r="15">
      <c r="A15" s="200">
        <f>ROW()</f>
      </c>
      <c r="B15" s="200">
        <f>ISTEXT('Proyecto Datos (OKR´s)'!$K15)</f>
      </c>
      <c r="C15" s="200">
        <f>AND(LEN('Proyecto Datos (OKR´s)'!$G15)&gt;0,NOT($B15),OR(ISNUMBER('Proyecto Datos (OKR´s)'!$F15),ISNUMBER('Proyecto Datos (OKR´s)'!$L15)))</f>
      </c>
      <c r="D15" s="201">
        <f>IF($C15,IFERROR(LOOKUP(2,1/((ISTEXT('Proyecto Datos (OKR´s)'!$K$7:$K15))*(LEN('Proyecto Datos (OKR´s)'!$G$7:$G15)&gt;0)),'Proyecto Datos (OKR´s)'!$G$7:$G15),""),"")</f>
      </c>
      <c r="E15" s="200">
        <f>IF($C15,'Proyecto Datos (OKR´s)'!$E15,"")</f>
      </c>
      <c r="F15" s="201">
        <f>IF($C15,'Proyecto Datos (OKR´s)'!$G15,"")</f>
      </c>
      <c r="G15" s="201">
        <f>IF($C15,IF('Proyecto Datos (OKR´s)'!$I15="","(Sin asignar)",'Proyecto Datos (OKR´s)'!$I15),"")</f>
      </c>
      <c r="H15" s="200">
        <f>IF($C15,IF(ISNUMBER('Proyecto Datos (OKR´s)'!$F15),'Proyecto Datos (OKR´s)'!$F15,'Proyecto Datos (OKR´s)'!$L15),"")</f>
      </c>
      <c r="I15" s="200">
        <f>IF($C15,'Proyecto Datos (OKR´s)'!$J15,"")</f>
      </c>
      <c r="J15" s="201">
        <f>IF($C15,IF($I15&gt;=1,"Completado",IF($H15&lt;TODAY(),"Vencido",IF(($H15-TODAY())&lt;='Entregas Próximas'!$I$3,"Próximo a vencer","En curso"))),"")</f>
      </c>
      <c r="K15" s="200">
        <f>IF($C15,$H15-TODAY(),"")</f>
      </c>
      <c r="L15" s="200">
        <f>IF($C15,$N15*1000000+$H15+ROW()/100000,"")</f>
      </c>
      <c r="M15" s="200">
        <f>IF($C15,IF('Proyecto Datos (OKR´s)'!$E15="","(Sin sprint)",'Proyecto Datos (OKR´s)'!$E15),"")</f>
      </c>
      <c r="N15" s="200">
        <f>IF($C15,IF('Proyecto Datos (OKR´s)'!$E15="",9999,'Proyecto Datos (OKR´s)'!$E15),"")</f>
      </c>
      <c r="P15" s="200">
        <f>ROW()-6</f>
      </c>
      <c r="Q15" s="200">
        <f>IF(COUNTIF($N$7:$N$200,$P15)&gt;0,$P15,"")</f>
      </c>
    </row>
    <row r="16">
      <c r="A16" s="200">
        <f>ROW()</f>
      </c>
      <c r="B16" s="200">
        <f>ISTEXT('Proyecto Datos (OKR´s)'!$K16)</f>
      </c>
      <c r="C16" s="200">
        <f>AND(LEN('Proyecto Datos (OKR´s)'!$G16)&gt;0,NOT($B16),OR(ISNUMBER('Proyecto Datos (OKR´s)'!$F16),ISNUMBER('Proyecto Datos (OKR´s)'!$L16)))</f>
      </c>
      <c r="D16" s="201">
        <f>IF($C16,IFERROR(LOOKUP(2,1/((ISTEXT('Proyecto Datos (OKR´s)'!$K$7:$K16))*(LEN('Proyecto Datos (OKR´s)'!$G$7:$G16)&gt;0)),'Proyecto Datos (OKR´s)'!$G$7:$G16),""),"")</f>
      </c>
      <c r="E16" s="200">
        <f>IF($C16,'Proyecto Datos (OKR´s)'!$E16,"")</f>
      </c>
      <c r="F16" s="201">
        <f>IF($C16,'Proyecto Datos (OKR´s)'!$G16,"")</f>
      </c>
      <c r="G16" s="201">
        <f>IF($C16,IF('Proyecto Datos (OKR´s)'!$I16="","(Sin asignar)",'Proyecto Datos (OKR´s)'!$I16),"")</f>
      </c>
      <c r="H16" s="200">
        <f>IF($C16,IF(ISNUMBER('Proyecto Datos (OKR´s)'!$F16),'Proyecto Datos (OKR´s)'!$F16,'Proyecto Datos (OKR´s)'!$L16),"")</f>
      </c>
      <c r="I16" s="200">
        <f>IF($C16,'Proyecto Datos (OKR´s)'!$J16,"")</f>
      </c>
      <c r="J16" s="201">
        <f>IF($C16,IF($I16&gt;=1,"Completado",IF($H16&lt;TODAY(),"Vencido",IF(($H16-TODAY())&lt;='Entregas Próximas'!$I$3,"Próximo a vencer","En curso"))),"")</f>
      </c>
      <c r="K16" s="200">
        <f>IF($C16,$H16-TODAY(),"")</f>
      </c>
      <c r="L16" s="200">
        <f>IF($C16,$N16*1000000+$H16+ROW()/100000,"")</f>
      </c>
      <c r="M16" s="200">
        <f>IF($C16,IF('Proyecto Datos (OKR´s)'!$E16="","(Sin sprint)",'Proyecto Datos (OKR´s)'!$E16),"")</f>
      </c>
      <c r="N16" s="200">
        <f>IF($C16,IF('Proyecto Datos (OKR´s)'!$E16="",9999,'Proyecto Datos (OKR´s)'!$E16),"")</f>
      </c>
      <c r="P16" s="200">
        <f>ROW()-6</f>
      </c>
      <c r="Q16" s="200">
        <f>IF(COUNTIF($N$7:$N$200,$P16)&gt;0,$P16,"")</f>
      </c>
    </row>
    <row r="17">
      <c r="A17" s="200">
        <f>ROW()</f>
      </c>
      <c r="B17" s="200">
        <f>ISTEXT('Proyecto Datos (OKR´s)'!$K17)</f>
      </c>
      <c r="C17" s="200">
        <f>AND(LEN('Proyecto Datos (OKR´s)'!$G17)&gt;0,NOT($B17),OR(ISNUMBER('Proyecto Datos (OKR´s)'!$F17),ISNUMBER('Proyecto Datos (OKR´s)'!$L17)))</f>
      </c>
      <c r="D17" s="201">
        <f>IF($C17,IFERROR(LOOKUP(2,1/((ISTEXT('Proyecto Datos (OKR´s)'!$K$7:$K17))*(LEN('Proyecto Datos (OKR´s)'!$G$7:$G17)&gt;0)),'Proyecto Datos (OKR´s)'!$G$7:$G17),""),"")</f>
      </c>
      <c r="E17" s="200">
        <f>IF($C17,'Proyecto Datos (OKR´s)'!$E17,"")</f>
      </c>
      <c r="F17" s="201">
        <f>IF($C17,'Proyecto Datos (OKR´s)'!$G17,"")</f>
      </c>
      <c r="G17" s="201">
        <f>IF($C17,IF('Proyecto Datos (OKR´s)'!$I17="","(Sin asignar)",'Proyecto Datos (OKR´s)'!$I17),"")</f>
      </c>
      <c r="H17" s="200">
        <f>IF($C17,IF(ISNUMBER('Proyecto Datos (OKR´s)'!$F17),'Proyecto Datos (OKR´s)'!$F17,'Proyecto Datos (OKR´s)'!$L17),"")</f>
      </c>
      <c r="I17" s="200">
        <f>IF($C17,'Proyecto Datos (OKR´s)'!$J17,"")</f>
      </c>
      <c r="J17" s="201">
        <f>IF($C17,IF($I17&gt;=1,"Completado",IF($H17&lt;TODAY(),"Vencido",IF(($H17-TODAY())&lt;='Entregas Próximas'!$I$3,"Próximo a vencer","En curso"))),"")</f>
      </c>
      <c r="K17" s="200">
        <f>IF($C17,$H17-TODAY(),"")</f>
      </c>
      <c r="L17" s="200">
        <f>IF($C17,$N17*1000000+$H17+ROW()/100000,"")</f>
      </c>
      <c r="M17" s="200">
        <f>IF($C17,IF('Proyecto Datos (OKR´s)'!$E17="","(Sin sprint)",'Proyecto Datos (OKR´s)'!$E17),"")</f>
      </c>
      <c r="N17" s="200">
        <f>IF($C17,IF('Proyecto Datos (OKR´s)'!$E17="",9999,'Proyecto Datos (OKR´s)'!$E17),"")</f>
      </c>
      <c r="P17" s="200">
        <f>ROW()-6</f>
      </c>
      <c r="Q17" s="200">
        <f>IF(COUNTIF($N$7:$N$200,$P17)&gt;0,$P17,"")</f>
      </c>
    </row>
    <row r="18">
      <c r="A18" s="200">
        <f>ROW()</f>
      </c>
      <c r="B18" s="200">
        <f>ISTEXT('Proyecto Datos (OKR´s)'!$K18)</f>
      </c>
      <c r="C18" s="200">
        <f>AND(LEN('Proyecto Datos (OKR´s)'!$G18)&gt;0,NOT($B18),OR(ISNUMBER('Proyecto Datos (OKR´s)'!$F18),ISNUMBER('Proyecto Datos (OKR´s)'!$L18)))</f>
      </c>
      <c r="D18" s="201">
        <f>IF($C18,IFERROR(LOOKUP(2,1/((ISTEXT('Proyecto Datos (OKR´s)'!$K$7:$K18))*(LEN('Proyecto Datos (OKR´s)'!$G$7:$G18)&gt;0)),'Proyecto Datos (OKR´s)'!$G$7:$G18),""),"")</f>
      </c>
      <c r="E18" s="200">
        <f>IF($C18,'Proyecto Datos (OKR´s)'!$E18,"")</f>
      </c>
      <c r="F18" s="201">
        <f>IF($C18,'Proyecto Datos (OKR´s)'!$G18,"")</f>
      </c>
      <c r="G18" s="201">
        <f>IF($C18,IF('Proyecto Datos (OKR´s)'!$I18="","(Sin asignar)",'Proyecto Datos (OKR´s)'!$I18),"")</f>
      </c>
      <c r="H18" s="200">
        <f>IF($C18,IF(ISNUMBER('Proyecto Datos (OKR´s)'!$F18),'Proyecto Datos (OKR´s)'!$F18,'Proyecto Datos (OKR´s)'!$L18),"")</f>
      </c>
      <c r="I18" s="200">
        <f>IF($C18,'Proyecto Datos (OKR´s)'!$J18,"")</f>
      </c>
      <c r="J18" s="201">
        <f>IF($C18,IF($I18&gt;=1,"Completado",IF($H18&lt;TODAY(),"Vencido",IF(($H18-TODAY())&lt;='Entregas Próximas'!$I$3,"Próximo a vencer","En curso"))),"")</f>
      </c>
      <c r="K18" s="200">
        <f>IF($C18,$H18-TODAY(),"")</f>
      </c>
      <c r="L18" s="200">
        <f>IF($C18,$N18*1000000+$H18+ROW()/100000,"")</f>
      </c>
      <c r="M18" s="200">
        <f>IF($C18,IF('Proyecto Datos (OKR´s)'!$E18="","(Sin sprint)",'Proyecto Datos (OKR´s)'!$E18),"")</f>
      </c>
      <c r="N18" s="200">
        <f>IF($C18,IF('Proyecto Datos (OKR´s)'!$E18="",9999,'Proyecto Datos (OKR´s)'!$E18),"")</f>
      </c>
      <c r="P18" s="200">
        <f>ROW()-6</f>
      </c>
      <c r="Q18" s="200">
        <f>IF(COUNTIF($N$7:$N$200,$P18)&gt;0,$P18,"")</f>
      </c>
    </row>
    <row r="19">
      <c r="A19" s="200">
        <f>ROW()</f>
      </c>
      <c r="B19" s="200">
        <f>ISTEXT('Proyecto Datos (OKR´s)'!$K19)</f>
      </c>
      <c r="C19" s="200">
        <f>AND(LEN('Proyecto Datos (OKR´s)'!$G19)&gt;0,NOT($B19),OR(ISNUMBER('Proyecto Datos (OKR´s)'!$F19),ISNUMBER('Proyecto Datos (OKR´s)'!$L19)))</f>
      </c>
      <c r="D19" s="201">
        <f>IF($C19,IFERROR(LOOKUP(2,1/((ISTEXT('Proyecto Datos (OKR´s)'!$K$7:$K19))*(LEN('Proyecto Datos (OKR´s)'!$G$7:$G19)&gt;0)),'Proyecto Datos (OKR´s)'!$G$7:$G19),""),"")</f>
      </c>
      <c r="E19" s="200">
        <f>IF($C19,'Proyecto Datos (OKR´s)'!$E19,"")</f>
      </c>
      <c r="F19" s="201">
        <f>IF($C19,'Proyecto Datos (OKR´s)'!$G19,"")</f>
      </c>
      <c r="G19" s="201">
        <f>IF($C19,IF('Proyecto Datos (OKR´s)'!$I19="","(Sin asignar)",'Proyecto Datos (OKR´s)'!$I19),"")</f>
      </c>
      <c r="H19" s="200">
        <f>IF($C19,IF(ISNUMBER('Proyecto Datos (OKR´s)'!$F19),'Proyecto Datos (OKR´s)'!$F19,'Proyecto Datos (OKR´s)'!$L19),"")</f>
      </c>
      <c r="I19" s="200">
        <f>IF($C19,'Proyecto Datos (OKR´s)'!$J19,"")</f>
      </c>
      <c r="J19" s="201">
        <f>IF($C19,IF($I19&gt;=1,"Completado",IF($H19&lt;TODAY(),"Vencido",IF(($H19-TODAY())&lt;='Entregas Próximas'!$I$3,"Próximo a vencer","En curso"))),"")</f>
      </c>
      <c r="K19" s="200">
        <f>IF($C19,$H19-TODAY(),"")</f>
      </c>
      <c r="L19" s="200">
        <f>IF($C19,$N19*1000000+$H19+ROW()/100000,"")</f>
      </c>
      <c r="M19" s="200">
        <f>IF($C19,IF('Proyecto Datos (OKR´s)'!$E19="","(Sin sprint)",'Proyecto Datos (OKR´s)'!$E19),"")</f>
      </c>
      <c r="N19" s="200">
        <f>IF($C19,IF('Proyecto Datos (OKR´s)'!$E19="",9999,'Proyecto Datos (OKR´s)'!$E19),"")</f>
      </c>
      <c r="P19" s="200">
        <f>ROW()-6</f>
      </c>
      <c r="Q19" s="200">
        <f>IF(COUNTIF($N$7:$N$200,$P19)&gt;0,$P19,"")</f>
      </c>
    </row>
    <row r="20">
      <c r="A20" s="200">
        <f>ROW()</f>
      </c>
      <c r="B20" s="200">
        <f>ISTEXT('Proyecto Datos (OKR´s)'!$K20)</f>
      </c>
      <c r="C20" s="200">
        <f>AND(LEN('Proyecto Datos (OKR´s)'!$G20)&gt;0,NOT($B20),OR(ISNUMBER('Proyecto Datos (OKR´s)'!$F20),ISNUMBER('Proyecto Datos (OKR´s)'!$L20)))</f>
      </c>
      <c r="D20" s="201">
        <f>IF($C20,IFERROR(LOOKUP(2,1/((ISTEXT('Proyecto Datos (OKR´s)'!$K$7:$K20))*(LEN('Proyecto Datos (OKR´s)'!$G$7:$G20)&gt;0)),'Proyecto Datos (OKR´s)'!$G$7:$G20),""),"")</f>
      </c>
      <c r="E20" s="200">
        <f>IF($C20,'Proyecto Datos (OKR´s)'!$E20,"")</f>
      </c>
      <c r="F20" s="201">
        <f>IF($C20,'Proyecto Datos (OKR´s)'!$G20,"")</f>
      </c>
      <c r="G20" s="201">
        <f>IF($C20,IF('Proyecto Datos (OKR´s)'!$I20="","(Sin asignar)",'Proyecto Datos (OKR´s)'!$I20),"")</f>
      </c>
      <c r="H20" s="200">
        <f>IF($C20,IF(ISNUMBER('Proyecto Datos (OKR´s)'!$F20),'Proyecto Datos (OKR´s)'!$F20,'Proyecto Datos (OKR´s)'!$L20),"")</f>
      </c>
      <c r="I20" s="200">
        <f>IF($C20,'Proyecto Datos (OKR´s)'!$J20,"")</f>
      </c>
      <c r="J20" s="201">
        <f>IF($C20,IF($I20&gt;=1,"Completado",IF($H20&lt;TODAY(),"Vencido",IF(($H20-TODAY())&lt;='Entregas Próximas'!$I$3,"Próximo a vencer","En curso"))),"")</f>
      </c>
      <c r="K20" s="200">
        <f>IF($C20,$H20-TODAY(),"")</f>
      </c>
      <c r="L20" s="200">
        <f>IF($C20,$N20*1000000+$H20+ROW()/100000,"")</f>
      </c>
      <c r="M20" s="200">
        <f>IF($C20,IF('Proyecto Datos (OKR´s)'!$E20="","(Sin sprint)",'Proyecto Datos (OKR´s)'!$E20),"")</f>
      </c>
      <c r="N20" s="200">
        <f>IF($C20,IF('Proyecto Datos (OKR´s)'!$E20="",9999,'Proyecto Datos (OKR´s)'!$E20),"")</f>
      </c>
      <c r="P20" s="200">
        <f>ROW()-6</f>
      </c>
      <c r="Q20" s="200">
        <f>IF(COUNTIF($N$7:$N$200,$P20)&gt;0,$P20,"")</f>
      </c>
    </row>
    <row r="21">
      <c r="A21" s="200">
        <f>ROW()</f>
      </c>
      <c r="B21" s="200">
        <f>ISTEXT('Proyecto Datos (OKR´s)'!$K21)</f>
      </c>
      <c r="C21" s="200">
        <f>AND(LEN('Proyecto Datos (OKR´s)'!$G21)&gt;0,NOT($B21),OR(ISNUMBER('Proyecto Datos (OKR´s)'!$F21),ISNUMBER('Proyecto Datos (OKR´s)'!$L21)))</f>
      </c>
      <c r="D21" s="201">
        <f>IF($C21,IFERROR(LOOKUP(2,1/((ISTEXT('Proyecto Datos (OKR´s)'!$K$7:$K21))*(LEN('Proyecto Datos (OKR´s)'!$G$7:$G21)&gt;0)),'Proyecto Datos (OKR´s)'!$G$7:$G21),""),"")</f>
      </c>
      <c r="E21" s="200">
        <f>IF($C21,'Proyecto Datos (OKR´s)'!$E21,"")</f>
      </c>
      <c r="F21" s="201">
        <f>IF($C21,'Proyecto Datos (OKR´s)'!$G21,"")</f>
      </c>
      <c r="G21" s="201">
        <f>IF($C21,IF('Proyecto Datos (OKR´s)'!$I21="","(Sin asignar)",'Proyecto Datos (OKR´s)'!$I21),"")</f>
      </c>
      <c r="H21" s="200">
        <f>IF($C21,IF(ISNUMBER('Proyecto Datos (OKR´s)'!$F21),'Proyecto Datos (OKR´s)'!$F21,'Proyecto Datos (OKR´s)'!$L21),"")</f>
      </c>
      <c r="I21" s="200">
        <f>IF($C21,'Proyecto Datos (OKR´s)'!$J21,"")</f>
      </c>
      <c r="J21" s="201">
        <f>IF($C21,IF($I21&gt;=1,"Completado",IF($H21&lt;TODAY(),"Vencido",IF(($H21-TODAY())&lt;='Entregas Próximas'!$I$3,"Próximo a vencer","En curso"))),"")</f>
      </c>
      <c r="K21" s="200">
        <f>IF($C21,$H21-TODAY(),"")</f>
      </c>
      <c r="L21" s="200">
        <f>IF($C21,$N21*1000000+$H21+ROW()/100000,"")</f>
      </c>
      <c r="M21" s="200">
        <f>IF($C21,IF('Proyecto Datos (OKR´s)'!$E21="","(Sin sprint)",'Proyecto Datos (OKR´s)'!$E21),"")</f>
      </c>
      <c r="N21" s="200">
        <f>IF($C21,IF('Proyecto Datos (OKR´s)'!$E21="",9999,'Proyecto Datos (OKR´s)'!$E21),"")</f>
      </c>
      <c r="P21" s="200">
        <f>ROW()-6</f>
      </c>
      <c r="Q21" s="200">
        <f>IF(COUNTIF($N$7:$N$200,$P21)&gt;0,$P21,"")</f>
      </c>
    </row>
    <row r="22">
      <c r="A22" s="200">
        <f>ROW()</f>
      </c>
      <c r="B22" s="200">
        <f>ISTEXT('Proyecto Datos (OKR´s)'!$K22)</f>
      </c>
      <c r="C22" s="200">
        <f>AND(LEN('Proyecto Datos (OKR´s)'!$G22)&gt;0,NOT($B22),OR(ISNUMBER('Proyecto Datos (OKR´s)'!$F22),ISNUMBER('Proyecto Datos (OKR´s)'!$L22)))</f>
      </c>
      <c r="D22" s="201">
        <f>IF($C22,IFERROR(LOOKUP(2,1/((ISTEXT('Proyecto Datos (OKR´s)'!$K$7:$K22))*(LEN('Proyecto Datos (OKR´s)'!$G$7:$G22)&gt;0)),'Proyecto Datos (OKR´s)'!$G$7:$G22),""),"")</f>
      </c>
      <c r="E22" s="200">
        <f>IF($C22,'Proyecto Datos (OKR´s)'!$E22,"")</f>
      </c>
      <c r="F22" s="201">
        <f>IF($C22,'Proyecto Datos (OKR´s)'!$G22,"")</f>
      </c>
      <c r="G22" s="201">
        <f>IF($C22,IF('Proyecto Datos (OKR´s)'!$I22="","(Sin asignar)",'Proyecto Datos (OKR´s)'!$I22),"")</f>
      </c>
      <c r="H22" s="200">
        <f>IF($C22,IF(ISNUMBER('Proyecto Datos (OKR´s)'!$F22),'Proyecto Datos (OKR´s)'!$F22,'Proyecto Datos (OKR´s)'!$L22),"")</f>
      </c>
      <c r="I22" s="200">
        <f>IF($C22,'Proyecto Datos (OKR´s)'!$J22,"")</f>
      </c>
      <c r="J22" s="201">
        <f>IF($C22,IF($I22&gt;=1,"Completado",IF($H22&lt;TODAY(),"Vencido",IF(($H22-TODAY())&lt;='Entregas Próximas'!$I$3,"Próximo a vencer","En curso"))),"")</f>
      </c>
      <c r="K22" s="200">
        <f>IF($C22,$H22-TODAY(),"")</f>
      </c>
      <c r="L22" s="200">
        <f>IF($C22,$N22*1000000+$H22+ROW()/100000,"")</f>
      </c>
      <c r="M22" s="200">
        <f>IF($C22,IF('Proyecto Datos (OKR´s)'!$E22="","(Sin sprint)",'Proyecto Datos (OKR´s)'!$E22),"")</f>
      </c>
      <c r="N22" s="200">
        <f>IF($C22,IF('Proyecto Datos (OKR´s)'!$E22="",9999,'Proyecto Datos (OKR´s)'!$E22),"")</f>
      </c>
      <c r="P22" s="200">
        <f>ROW()-6</f>
      </c>
      <c r="Q22" s="200">
        <f>IF(COUNTIF($N$7:$N$200,$P22)&gt;0,$P22,"")</f>
      </c>
    </row>
    <row r="23">
      <c r="A23" s="200">
        <f>ROW()</f>
      </c>
      <c r="B23" s="200">
        <f>ISTEXT('Proyecto Datos (OKR´s)'!$K23)</f>
      </c>
      <c r="C23" s="200">
        <f>AND(LEN('Proyecto Datos (OKR´s)'!$G23)&gt;0,NOT($B23),OR(ISNUMBER('Proyecto Datos (OKR´s)'!$F23),ISNUMBER('Proyecto Datos (OKR´s)'!$L23)))</f>
      </c>
      <c r="D23" s="201">
        <f>IF($C23,IFERROR(LOOKUP(2,1/((ISTEXT('Proyecto Datos (OKR´s)'!$K$7:$K23))*(LEN('Proyecto Datos (OKR´s)'!$G$7:$G23)&gt;0)),'Proyecto Datos (OKR´s)'!$G$7:$G23),""),"")</f>
      </c>
      <c r="E23" s="200">
        <f>IF($C23,'Proyecto Datos (OKR´s)'!$E23,"")</f>
      </c>
      <c r="F23" s="201">
        <f>IF($C23,'Proyecto Datos (OKR´s)'!$G23,"")</f>
      </c>
      <c r="G23" s="201">
        <f>IF($C23,IF('Proyecto Datos (OKR´s)'!$I23="","(Sin asignar)",'Proyecto Datos (OKR´s)'!$I23),"")</f>
      </c>
      <c r="H23" s="200">
        <f>IF($C23,IF(ISNUMBER('Proyecto Datos (OKR´s)'!$F23),'Proyecto Datos (OKR´s)'!$F23,'Proyecto Datos (OKR´s)'!$L23),"")</f>
      </c>
      <c r="I23" s="200">
        <f>IF($C23,'Proyecto Datos (OKR´s)'!$J23,"")</f>
      </c>
      <c r="J23" s="201">
        <f>IF($C23,IF($I23&gt;=1,"Completado",IF($H23&lt;TODAY(),"Vencido",IF(($H23-TODAY())&lt;='Entregas Próximas'!$I$3,"Próximo a vencer","En curso"))),"")</f>
      </c>
      <c r="K23" s="200">
        <f>IF($C23,$H23-TODAY(),"")</f>
      </c>
      <c r="L23" s="200">
        <f>IF($C23,$N23*1000000+$H23+ROW()/100000,"")</f>
      </c>
      <c r="M23" s="200">
        <f>IF($C23,IF('Proyecto Datos (OKR´s)'!$E23="","(Sin sprint)",'Proyecto Datos (OKR´s)'!$E23),"")</f>
      </c>
      <c r="N23" s="200">
        <f>IF($C23,IF('Proyecto Datos (OKR´s)'!$E23="",9999,'Proyecto Datos (OKR´s)'!$E23),"")</f>
      </c>
      <c r="P23" s="200">
        <f>ROW()-6</f>
      </c>
      <c r="Q23" s="200">
        <f>IF(COUNTIF($N$7:$N$200,$P23)&gt;0,$P23,"")</f>
      </c>
    </row>
    <row r="24">
      <c r="A24" s="200">
        <f>ROW()</f>
      </c>
      <c r="B24" s="200">
        <f>ISTEXT('Proyecto Datos (OKR´s)'!$K24)</f>
      </c>
      <c r="C24" s="200">
        <f>AND(LEN('Proyecto Datos (OKR´s)'!$G24)&gt;0,NOT($B24),OR(ISNUMBER('Proyecto Datos (OKR´s)'!$F24),ISNUMBER('Proyecto Datos (OKR´s)'!$L24)))</f>
      </c>
      <c r="D24" s="201">
        <f>IF($C24,IFERROR(LOOKUP(2,1/((ISTEXT('Proyecto Datos (OKR´s)'!$K$7:$K24))*(LEN('Proyecto Datos (OKR´s)'!$G$7:$G24)&gt;0)),'Proyecto Datos (OKR´s)'!$G$7:$G24),""),"")</f>
      </c>
      <c r="E24" s="200">
        <f>IF($C24,'Proyecto Datos (OKR´s)'!$E24,"")</f>
      </c>
      <c r="F24" s="201">
        <f>IF($C24,'Proyecto Datos (OKR´s)'!$G24,"")</f>
      </c>
      <c r="G24" s="201">
        <f>IF($C24,IF('Proyecto Datos (OKR´s)'!$I24="","(Sin asignar)",'Proyecto Datos (OKR´s)'!$I24),"")</f>
      </c>
      <c r="H24" s="200">
        <f>IF($C24,IF(ISNUMBER('Proyecto Datos (OKR´s)'!$F24),'Proyecto Datos (OKR´s)'!$F24,'Proyecto Datos (OKR´s)'!$L24),"")</f>
      </c>
      <c r="I24" s="200">
        <f>IF($C24,'Proyecto Datos (OKR´s)'!$J24,"")</f>
      </c>
      <c r="J24" s="201">
        <f>IF($C24,IF($I24&gt;=1,"Completado",IF($H24&lt;TODAY(),"Vencido",IF(($H24-TODAY())&lt;='Entregas Próximas'!$I$3,"Próximo a vencer","En curso"))),"")</f>
      </c>
      <c r="K24" s="200">
        <f>IF($C24,$H24-TODAY(),"")</f>
      </c>
      <c r="L24" s="200">
        <f>IF($C24,$N24*1000000+$H24+ROW()/100000,"")</f>
      </c>
      <c r="M24" s="200">
        <f>IF($C24,IF('Proyecto Datos (OKR´s)'!$E24="","(Sin sprint)",'Proyecto Datos (OKR´s)'!$E24),"")</f>
      </c>
      <c r="N24" s="200">
        <f>IF($C24,IF('Proyecto Datos (OKR´s)'!$E24="",9999,'Proyecto Datos (OKR´s)'!$E24),"")</f>
      </c>
      <c r="P24" s="200">
        <f>ROW()-6</f>
      </c>
      <c r="Q24" s="200">
        <f>IF(COUNTIF($N$7:$N$200,$P24)&gt;0,$P24,"")</f>
      </c>
    </row>
    <row r="25">
      <c r="A25" s="200">
        <f>ROW()</f>
      </c>
      <c r="B25" s="200">
        <f>ISTEXT('Proyecto Datos (OKR´s)'!$K25)</f>
      </c>
      <c r="C25" s="200">
        <f>AND(LEN('Proyecto Datos (OKR´s)'!$G25)&gt;0,NOT($B25),OR(ISNUMBER('Proyecto Datos (OKR´s)'!$F25),ISNUMBER('Proyecto Datos (OKR´s)'!$L25)))</f>
      </c>
      <c r="D25" s="201">
        <f>IF($C25,IFERROR(LOOKUP(2,1/((ISTEXT('Proyecto Datos (OKR´s)'!$K$7:$K25))*(LEN('Proyecto Datos (OKR´s)'!$G$7:$G25)&gt;0)),'Proyecto Datos (OKR´s)'!$G$7:$G25),""),"")</f>
      </c>
      <c r="E25" s="200">
        <f>IF($C25,'Proyecto Datos (OKR´s)'!$E25,"")</f>
      </c>
      <c r="F25" s="201">
        <f>IF($C25,'Proyecto Datos (OKR´s)'!$G25,"")</f>
      </c>
      <c r="G25" s="201">
        <f>IF($C25,IF('Proyecto Datos (OKR´s)'!$I25="","(Sin asignar)",'Proyecto Datos (OKR´s)'!$I25),"")</f>
      </c>
      <c r="H25" s="200">
        <f>IF($C25,IF(ISNUMBER('Proyecto Datos (OKR´s)'!$F25),'Proyecto Datos (OKR´s)'!$F25,'Proyecto Datos (OKR´s)'!$L25),"")</f>
      </c>
      <c r="I25" s="200">
        <f>IF($C25,'Proyecto Datos (OKR´s)'!$J25,"")</f>
      </c>
      <c r="J25" s="201">
        <f>IF($C25,IF($I25&gt;=1,"Completado",IF($H25&lt;TODAY(),"Vencido",IF(($H25-TODAY())&lt;='Entregas Próximas'!$I$3,"Próximo a vencer","En curso"))),"")</f>
      </c>
      <c r="K25" s="200">
        <f>IF($C25,$H25-TODAY(),"")</f>
      </c>
      <c r="L25" s="200">
        <f>IF($C25,$N25*1000000+$H25+ROW()/100000,"")</f>
      </c>
      <c r="M25" s="200">
        <f>IF($C25,IF('Proyecto Datos (OKR´s)'!$E25="","(Sin sprint)",'Proyecto Datos (OKR´s)'!$E25),"")</f>
      </c>
      <c r="N25" s="200">
        <f>IF($C25,IF('Proyecto Datos (OKR´s)'!$E25="",9999,'Proyecto Datos (OKR´s)'!$E25),"")</f>
      </c>
      <c r="P25" s="200">
        <f>ROW()-6</f>
      </c>
      <c r="Q25" s="200">
        <f>IF(COUNTIF($N$7:$N$200,$P25)&gt;0,$P25,"")</f>
      </c>
    </row>
    <row r="26">
      <c r="A26" s="200">
        <f>ROW()</f>
      </c>
      <c r="B26" s="200">
        <f>ISTEXT('Proyecto Datos (OKR´s)'!$K26)</f>
      </c>
      <c r="C26" s="200">
        <f>AND(LEN('Proyecto Datos (OKR´s)'!$G26)&gt;0,NOT($B26),OR(ISNUMBER('Proyecto Datos (OKR´s)'!$F26),ISNUMBER('Proyecto Datos (OKR´s)'!$L26)))</f>
      </c>
      <c r="D26" s="201">
        <f>IF($C26,IFERROR(LOOKUP(2,1/((ISTEXT('Proyecto Datos (OKR´s)'!$K$7:$K26))*(LEN('Proyecto Datos (OKR´s)'!$G$7:$G26)&gt;0)),'Proyecto Datos (OKR´s)'!$G$7:$G26),""),"")</f>
      </c>
      <c r="E26" s="200">
        <f>IF($C26,'Proyecto Datos (OKR´s)'!$E26,"")</f>
      </c>
      <c r="F26" s="201">
        <f>IF($C26,'Proyecto Datos (OKR´s)'!$G26,"")</f>
      </c>
      <c r="G26" s="201">
        <f>IF($C26,IF('Proyecto Datos (OKR´s)'!$I26="","(Sin asignar)",'Proyecto Datos (OKR´s)'!$I26),"")</f>
      </c>
      <c r="H26" s="200">
        <f>IF($C26,IF(ISNUMBER('Proyecto Datos (OKR´s)'!$F26),'Proyecto Datos (OKR´s)'!$F26,'Proyecto Datos (OKR´s)'!$L26),"")</f>
      </c>
      <c r="I26" s="200">
        <f>IF($C26,'Proyecto Datos (OKR´s)'!$J26,"")</f>
      </c>
      <c r="J26" s="201">
        <f>IF($C26,IF($I26&gt;=1,"Completado",IF($H26&lt;TODAY(),"Vencido",IF(($H26-TODAY())&lt;='Entregas Próximas'!$I$3,"Próximo a vencer","En curso"))),"")</f>
      </c>
      <c r="K26" s="200">
        <f>IF($C26,$H26-TODAY(),"")</f>
      </c>
      <c r="L26" s="200">
        <f>IF($C26,$N26*1000000+$H26+ROW()/100000,"")</f>
      </c>
      <c r="M26" s="200">
        <f>IF($C26,IF('Proyecto Datos (OKR´s)'!$E26="","(Sin sprint)",'Proyecto Datos (OKR´s)'!$E26),"")</f>
      </c>
      <c r="N26" s="200">
        <f>IF($C26,IF('Proyecto Datos (OKR´s)'!$E26="",9999,'Proyecto Datos (OKR´s)'!$E26),"")</f>
      </c>
      <c r="P26" s="200">
        <f>ROW()-6</f>
      </c>
      <c r="Q26" s="200">
        <f>IF(COUNTIF($N$7:$N$200,$P26)&gt;0,$P26,"")</f>
      </c>
    </row>
    <row r="27">
      <c r="A27" s="200">
        <f>ROW()</f>
      </c>
      <c r="B27" s="200">
        <f>ISTEXT('Proyecto Datos (OKR´s)'!$K27)</f>
      </c>
      <c r="C27" s="200">
        <f>AND(LEN('Proyecto Datos (OKR´s)'!$G27)&gt;0,NOT($B27),OR(ISNUMBER('Proyecto Datos (OKR´s)'!$F27),ISNUMBER('Proyecto Datos (OKR´s)'!$L27)))</f>
      </c>
      <c r="D27" s="201">
        <f>IF($C27,IFERROR(LOOKUP(2,1/((ISTEXT('Proyecto Datos (OKR´s)'!$K$7:$K27))*(LEN('Proyecto Datos (OKR´s)'!$G$7:$G27)&gt;0)),'Proyecto Datos (OKR´s)'!$G$7:$G27),""),"")</f>
      </c>
      <c r="E27" s="200">
        <f>IF($C27,'Proyecto Datos (OKR´s)'!$E27,"")</f>
      </c>
      <c r="F27" s="201">
        <f>IF($C27,'Proyecto Datos (OKR´s)'!$G27,"")</f>
      </c>
      <c r="G27" s="201">
        <f>IF($C27,IF('Proyecto Datos (OKR´s)'!$I27="","(Sin asignar)",'Proyecto Datos (OKR´s)'!$I27),"")</f>
      </c>
      <c r="H27" s="200">
        <f>IF($C27,IF(ISNUMBER('Proyecto Datos (OKR´s)'!$F27),'Proyecto Datos (OKR´s)'!$F27,'Proyecto Datos (OKR´s)'!$L27),"")</f>
      </c>
      <c r="I27" s="200">
        <f>IF($C27,'Proyecto Datos (OKR´s)'!$J27,"")</f>
      </c>
      <c r="J27" s="201">
        <f>IF($C27,IF($I27&gt;=1,"Completado",IF($H27&lt;TODAY(),"Vencido",IF(($H27-TODAY())&lt;='Entregas Próximas'!$I$3,"Próximo a vencer","En curso"))),"")</f>
      </c>
      <c r="K27" s="200">
        <f>IF($C27,$H27-TODAY(),"")</f>
      </c>
      <c r="L27" s="200">
        <f>IF($C27,$N27*1000000+$H27+ROW()/100000,"")</f>
      </c>
      <c r="M27" s="200">
        <f>IF($C27,IF('Proyecto Datos (OKR´s)'!$E27="","(Sin sprint)",'Proyecto Datos (OKR´s)'!$E27),"")</f>
      </c>
      <c r="N27" s="200">
        <f>IF($C27,IF('Proyecto Datos (OKR´s)'!$E27="",9999,'Proyecto Datos (OKR´s)'!$E27),"")</f>
      </c>
      <c r="P27" s="200">
        <f>ROW()-6</f>
      </c>
      <c r="Q27" s="200">
        <f>IF(COUNTIF($N$7:$N$200,$P27)&gt;0,$P27,"")</f>
      </c>
    </row>
    <row r="28">
      <c r="A28" s="200">
        <f>ROW()</f>
      </c>
      <c r="B28" s="200">
        <f>ISTEXT('Proyecto Datos (OKR´s)'!$K28)</f>
      </c>
      <c r="C28" s="200">
        <f>AND(LEN('Proyecto Datos (OKR´s)'!$G28)&gt;0,NOT($B28),OR(ISNUMBER('Proyecto Datos (OKR´s)'!$F28),ISNUMBER('Proyecto Datos (OKR´s)'!$L28)))</f>
      </c>
      <c r="D28" s="201">
        <f>IF($C28,IFERROR(LOOKUP(2,1/((ISTEXT('Proyecto Datos (OKR´s)'!$K$7:$K28))*(LEN('Proyecto Datos (OKR´s)'!$G$7:$G28)&gt;0)),'Proyecto Datos (OKR´s)'!$G$7:$G28),""),"")</f>
      </c>
      <c r="E28" s="200">
        <f>IF($C28,'Proyecto Datos (OKR´s)'!$E28,"")</f>
      </c>
      <c r="F28" s="201">
        <f>IF($C28,'Proyecto Datos (OKR´s)'!$G28,"")</f>
      </c>
      <c r="G28" s="201">
        <f>IF($C28,IF('Proyecto Datos (OKR´s)'!$I28="","(Sin asignar)",'Proyecto Datos (OKR´s)'!$I28),"")</f>
      </c>
      <c r="H28" s="200">
        <f>IF($C28,IF(ISNUMBER('Proyecto Datos (OKR´s)'!$F28),'Proyecto Datos (OKR´s)'!$F28,'Proyecto Datos (OKR´s)'!$L28),"")</f>
      </c>
      <c r="I28" s="200">
        <f>IF($C28,'Proyecto Datos (OKR´s)'!$J28,"")</f>
      </c>
      <c r="J28" s="201">
        <f>IF($C28,IF($I28&gt;=1,"Completado",IF($H28&lt;TODAY(),"Vencido",IF(($H28-TODAY())&lt;='Entregas Próximas'!$I$3,"Próximo a vencer","En curso"))),"")</f>
      </c>
      <c r="K28" s="200">
        <f>IF($C28,$H28-TODAY(),"")</f>
      </c>
      <c r="L28" s="200">
        <f>IF($C28,$N28*1000000+$H28+ROW()/100000,"")</f>
      </c>
      <c r="M28" s="200">
        <f>IF($C28,IF('Proyecto Datos (OKR´s)'!$E28="","(Sin sprint)",'Proyecto Datos (OKR´s)'!$E28),"")</f>
      </c>
      <c r="N28" s="200">
        <f>IF($C28,IF('Proyecto Datos (OKR´s)'!$E28="",9999,'Proyecto Datos (OKR´s)'!$E28),"")</f>
      </c>
      <c r="P28" s="200">
        <f>ROW()-6</f>
      </c>
      <c r="Q28" s="200">
        <f>IF(COUNTIF($N$7:$N$200,$P28)&gt;0,$P28,"")</f>
      </c>
    </row>
    <row r="29">
      <c r="A29" s="200">
        <f>ROW()</f>
      </c>
      <c r="B29" s="200">
        <f>ISTEXT('Proyecto Datos (OKR´s)'!$K29)</f>
      </c>
      <c r="C29" s="200">
        <f>AND(LEN('Proyecto Datos (OKR´s)'!$G29)&gt;0,NOT($B29),OR(ISNUMBER('Proyecto Datos (OKR´s)'!$F29),ISNUMBER('Proyecto Datos (OKR´s)'!$L29)))</f>
      </c>
      <c r="D29" s="201">
        <f>IF($C29,IFERROR(LOOKUP(2,1/((ISTEXT('Proyecto Datos (OKR´s)'!$K$7:$K29))*(LEN('Proyecto Datos (OKR´s)'!$G$7:$G29)&gt;0)),'Proyecto Datos (OKR´s)'!$G$7:$G29),""),"")</f>
      </c>
      <c r="E29" s="200">
        <f>IF($C29,'Proyecto Datos (OKR´s)'!$E29,"")</f>
      </c>
      <c r="F29" s="201">
        <f>IF($C29,'Proyecto Datos (OKR´s)'!$G29,"")</f>
      </c>
      <c r="G29" s="201">
        <f>IF($C29,IF('Proyecto Datos (OKR´s)'!$I29="","(Sin asignar)",'Proyecto Datos (OKR´s)'!$I29),"")</f>
      </c>
      <c r="H29" s="200">
        <f>IF($C29,IF(ISNUMBER('Proyecto Datos (OKR´s)'!$F29),'Proyecto Datos (OKR´s)'!$F29,'Proyecto Datos (OKR´s)'!$L29),"")</f>
      </c>
      <c r="I29" s="200">
        <f>IF($C29,'Proyecto Datos (OKR´s)'!$J29,"")</f>
      </c>
      <c r="J29" s="201">
        <f>IF($C29,IF($I29&gt;=1,"Completado",IF($H29&lt;TODAY(),"Vencido",IF(($H29-TODAY())&lt;='Entregas Próximas'!$I$3,"Próximo a vencer","En curso"))),"")</f>
      </c>
      <c r="K29" s="200">
        <f>IF($C29,$H29-TODAY(),"")</f>
      </c>
      <c r="L29" s="200">
        <f>IF($C29,$N29*1000000+$H29+ROW()/100000,"")</f>
      </c>
      <c r="M29" s="200">
        <f>IF($C29,IF('Proyecto Datos (OKR´s)'!$E29="","(Sin sprint)",'Proyecto Datos (OKR´s)'!$E29),"")</f>
      </c>
      <c r="N29" s="200">
        <f>IF($C29,IF('Proyecto Datos (OKR´s)'!$E29="",9999,'Proyecto Datos (OKR´s)'!$E29),"")</f>
      </c>
      <c r="P29" s="200">
        <f>ROW()-6</f>
      </c>
      <c r="Q29" s="200">
        <f>IF(COUNTIF($N$7:$N$200,$P29)&gt;0,$P29,"")</f>
      </c>
    </row>
    <row r="30">
      <c r="A30" s="200">
        <f>ROW()</f>
      </c>
      <c r="B30" s="200">
        <f>ISTEXT('Proyecto Datos (OKR´s)'!$K30)</f>
      </c>
      <c r="C30" s="200">
        <f>AND(LEN('Proyecto Datos (OKR´s)'!$G30)&gt;0,NOT($B30),OR(ISNUMBER('Proyecto Datos (OKR´s)'!$F30),ISNUMBER('Proyecto Datos (OKR´s)'!$L30)))</f>
      </c>
      <c r="D30" s="201">
        <f>IF($C30,IFERROR(LOOKUP(2,1/((ISTEXT('Proyecto Datos (OKR´s)'!$K$7:$K30))*(LEN('Proyecto Datos (OKR´s)'!$G$7:$G30)&gt;0)),'Proyecto Datos (OKR´s)'!$G$7:$G30),""),"")</f>
      </c>
      <c r="E30" s="200">
        <f>IF($C30,'Proyecto Datos (OKR´s)'!$E30,"")</f>
      </c>
      <c r="F30" s="201">
        <f>IF($C30,'Proyecto Datos (OKR´s)'!$G30,"")</f>
      </c>
      <c r="G30" s="201">
        <f>IF($C30,IF('Proyecto Datos (OKR´s)'!$I30="","(Sin asignar)",'Proyecto Datos (OKR´s)'!$I30),"")</f>
      </c>
      <c r="H30" s="200">
        <f>IF($C30,IF(ISNUMBER('Proyecto Datos (OKR´s)'!$F30),'Proyecto Datos (OKR´s)'!$F30,'Proyecto Datos (OKR´s)'!$L30),"")</f>
      </c>
      <c r="I30" s="200">
        <f>IF($C30,'Proyecto Datos (OKR´s)'!$J30,"")</f>
      </c>
      <c r="J30" s="201">
        <f>IF($C30,IF($I30&gt;=1,"Completado",IF($H30&lt;TODAY(),"Vencido",IF(($H30-TODAY())&lt;='Entregas Próximas'!$I$3,"Próximo a vencer","En curso"))),"")</f>
      </c>
      <c r="K30" s="200">
        <f>IF($C30,$H30-TODAY(),"")</f>
      </c>
      <c r="L30" s="200">
        <f>IF($C30,$N30*1000000+$H30+ROW()/100000,"")</f>
      </c>
      <c r="M30" s="200">
        <f>IF($C30,IF('Proyecto Datos (OKR´s)'!$E30="","(Sin sprint)",'Proyecto Datos (OKR´s)'!$E30),"")</f>
      </c>
      <c r="N30" s="200">
        <f>IF($C30,IF('Proyecto Datos (OKR´s)'!$E30="",9999,'Proyecto Datos (OKR´s)'!$E30),"")</f>
      </c>
      <c r="P30" s="200">
        <f>ROW()-6</f>
      </c>
      <c r="Q30" s="200">
        <f>IF(COUNTIF($N$7:$N$200,$P30)&gt;0,$P30,"")</f>
      </c>
    </row>
    <row r="31">
      <c r="A31" s="200">
        <f>ROW()</f>
      </c>
      <c r="B31" s="200">
        <f>ISTEXT('Proyecto Datos (OKR´s)'!$K31)</f>
      </c>
      <c r="C31" s="200">
        <f>AND(LEN('Proyecto Datos (OKR´s)'!$G31)&gt;0,NOT($B31),OR(ISNUMBER('Proyecto Datos (OKR´s)'!$F31),ISNUMBER('Proyecto Datos (OKR´s)'!$L31)))</f>
      </c>
      <c r="D31" s="201">
        <f>IF($C31,IFERROR(LOOKUP(2,1/((ISTEXT('Proyecto Datos (OKR´s)'!$K$7:$K31))*(LEN('Proyecto Datos (OKR´s)'!$G$7:$G31)&gt;0)),'Proyecto Datos (OKR´s)'!$G$7:$G31),""),"")</f>
      </c>
      <c r="E31" s="200">
        <f>IF($C31,'Proyecto Datos (OKR´s)'!$E31,"")</f>
      </c>
      <c r="F31" s="201">
        <f>IF($C31,'Proyecto Datos (OKR´s)'!$G31,"")</f>
      </c>
      <c r="G31" s="201">
        <f>IF($C31,IF('Proyecto Datos (OKR´s)'!$I31="","(Sin asignar)",'Proyecto Datos (OKR´s)'!$I31),"")</f>
      </c>
      <c r="H31" s="200">
        <f>IF($C31,IF(ISNUMBER('Proyecto Datos (OKR´s)'!$F31),'Proyecto Datos (OKR´s)'!$F31,'Proyecto Datos (OKR´s)'!$L31),"")</f>
      </c>
      <c r="I31" s="200">
        <f>IF($C31,'Proyecto Datos (OKR´s)'!$J31,"")</f>
      </c>
      <c r="J31" s="201">
        <f>IF($C31,IF($I31&gt;=1,"Completado",IF($H31&lt;TODAY(),"Vencido",IF(($H31-TODAY())&lt;='Entregas Próximas'!$I$3,"Próximo a vencer","En curso"))),"")</f>
      </c>
      <c r="K31" s="200">
        <f>IF($C31,$H31-TODAY(),"")</f>
      </c>
      <c r="L31" s="200">
        <f>IF($C31,$N31*1000000+$H31+ROW()/100000,"")</f>
      </c>
      <c r="M31" s="200">
        <f>IF($C31,IF('Proyecto Datos (OKR´s)'!$E31="","(Sin sprint)",'Proyecto Datos (OKR´s)'!$E31),"")</f>
      </c>
      <c r="N31" s="200">
        <f>IF($C31,IF('Proyecto Datos (OKR´s)'!$E31="",9999,'Proyecto Datos (OKR´s)'!$E31),"")</f>
      </c>
      <c r="P31" s="200">
        <f>ROW()-6</f>
      </c>
      <c r="Q31" s="200">
        <f>IF(COUNTIF($N$7:$N$200,$P31)&gt;0,$P31,"")</f>
      </c>
    </row>
    <row r="32">
      <c r="A32" s="200">
        <f>ROW()</f>
      </c>
      <c r="B32" s="200">
        <f>ISTEXT('Proyecto Datos (OKR´s)'!$K32)</f>
      </c>
      <c r="C32" s="200">
        <f>AND(LEN('Proyecto Datos (OKR´s)'!$G32)&gt;0,NOT($B32),OR(ISNUMBER('Proyecto Datos (OKR´s)'!$F32),ISNUMBER('Proyecto Datos (OKR´s)'!$L32)))</f>
      </c>
      <c r="D32" s="201">
        <f>IF($C32,IFERROR(LOOKUP(2,1/((ISTEXT('Proyecto Datos (OKR´s)'!$K$7:$K32))*(LEN('Proyecto Datos (OKR´s)'!$G$7:$G32)&gt;0)),'Proyecto Datos (OKR´s)'!$G$7:$G32),""),"")</f>
      </c>
      <c r="E32" s="200">
        <f>IF($C32,'Proyecto Datos (OKR´s)'!$E32,"")</f>
      </c>
      <c r="F32" s="201">
        <f>IF($C32,'Proyecto Datos (OKR´s)'!$G32,"")</f>
      </c>
      <c r="G32" s="201">
        <f>IF($C32,IF('Proyecto Datos (OKR´s)'!$I32="","(Sin asignar)",'Proyecto Datos (OKR´s)'!$I32),"")</f>
      </c>
      <c r="H32" s="200">
        <f>IF($C32,IF(ISNUMBER('Proyecto Datos (OKR´s)'!$F32),'Proyecto Datos (OKR´s)'!$F32,'Proyecto Datos (OKR´s)'!$L32),"")</f>
      </c>
      <c r="I32" s="200">
        <f>IF($C32,'Proyecto Datos (OKR´s)'!$J32,"")</f>
      </c>
      <c r="J32" s="201">
        <f>IF($C32,IF($I32&gt;=1,"Completado",IF($H32&lt;TODAY(),"Vencido",IF(($H32-TODAY())&lt;='Entregas Próximas'!$I$3,"Próximo a vencer","En curso"))),"")</f>
      </c>
      <c r="K32" s="200">
        <f>IF($C32,$H32-TODAY(),"")</f>
      </c>
      <c r="L32" s="200">
        <f>IF($C32,$N32*1000000+$H32+ROW()/100000,"")</f>
      </c>
      <c r="M32" s="200">
        <f>IF($C32,IF('Proyecto Datos (OKR´s)'!$E32="","(Sin sprint)",'Proyecto Datos (OKR´s)'!$E32),"")</f>
      </c>
      <c r="N32" s="200">
        <f>IF($C32,IF('Proyecto Datos (OKR´s)'!$E32="",9999,'Proyecto Datos (OKR´s)'!$E32),"")</f>
      </c>
      <c r="P32" s="200">
        <f>ROW()-6</f>
      </c>
      <c r="Q32" s="200">
        <f>IF(COUNTIF($N$7:$N$200,$P32)&gt;0,$P32,"")</f>
      </c>
    </row>
    <row r="33">
      <c r="A33" s="200">
        <f>ROW()</f>
      </c>
      <c r="B33" s="200">
        <f>ISTEXT('Proyecto Datos (OKR´s)'!$K33)</f>
      </c>
      <c r="C33" s="200">
        <f>AND(LEN('Proyecto Datos (OKR´s)'!$G33)&gt;0,NOT($B33),OR(ISNUMBER('Proyecto Datos (OKR´s)'!$F33),ISNUMBER('Proyecto Datos (OKR´s)'!$L33)))</f>
      </c>
      <c r="D33" s="201">
        <f>IF($C33,IFERROR(LOOKUP(2,1/((ISTEXT('Proyecto Datos (OKR´s)'!$K$7:$K33))*(LEN('Proyecto Datos (OKR´s)'!$G$7:$G33)&gt;0)),'Proyecto Datos (OKR´s)'!$G$7:$G33),""),"")</f>
      </c>
      <c r="E33" s="200">
        <f>IF($C33,'Proyecto Datos (OKR´s)'!$E33,"")</f>
      </c>
      <c r="F33" s="201">
        <f>IF($C33,'Proyecto Datos (OKR´s)'!$G33,"")</f>
      </c>
      <c r="G33" s="201">
        <f>IF($C33,IF('Proyecto Datos (OKR´s)'!$I33="","(Sin asignar)",'Proyecto Datos (OKR´s)'!$I33),"")</f>
      </c>
      <c r="H33" s="200">
        <f>IF($C33,IF(ISNUMBER('Proyecto Datos (OKR´s)'!$F33),'Proyecto Datos (OKR´s)'!$F33,'Proyecto Datos (OKR´s)'!$L33),"")</f>
      </c>
      <c r="I33" s="200">
        <f>IF($C33,'Proyecto Datos (OKR´s)'!$J33,"")</f>
      </c>
      <c r="J33" s="201">
        <f>IF($C33,IF($I33&gt;=1,"Completado",IF($H33&lt;TODAY(),"Vencido",IF(($H33-TODAY())&lt;='Entregas Próximas'!$I$3,"Próximo a vencer","En curso"))),"")</f>
      </c>
      <c r="K33" s="200">
        <f>IF($C33,$H33-TODAY(),"")</f>
      </c>
      <c r="L33" s="200">
        <f>IF($C33,$N33*1000000+$H33+ROW()/100000,"")</f>
      </c>
      <c r="M33" s="200">
        <f>IF($C33,IF('Proyecto Datos (OKR´s)'!$E33="","(Sin sprint)",'Proyecto Datos (OKR´s)'!$E33),"")</f>
      </c>
      <c r="N33" s="200">
        <f>IF($C33,IF('Proyecto Datos (OKR´s)'!$E33="",9999,'Proyecto Datos (OKR´s)'!$E33),"")</f>
      </c>
      <c r="P33" s="200">
        <f>ROW()-6</f>
      </c>
      <c r="Q33" s="200">
        <f>IF(COUNTIF($N$7:$N$200,$P33)&gt;0,$P33,"")</f>
      </c>
    </row>
    <row r="34">
      <c r="A34" s="200">
        <f>ROW()</f>
      </c>
      <c r="B34" s="200">
        <f>ISTEXT('Proyecto Datos (OKR´s)'!$K34)</f>
      </c>
      <c r="C34" s="200">
        <f>AND(LEN('Proyecto Datos (OKR´s)'!$G34)&gt;0,NOT($B34),OR(ISNUMBER('Proyecto Datos (OKR´s)'!$F34),ISNUMBER('Proyecto Datos (OKR´s)'!$L34)))</f>
      </c>
      <c r="D34" s="201">
        <f>IF($C34,IFERROR(LOOKUP(2,1/((ISTEXT('Proyecto Datos (OKR´s)'!$K$7:$K34))*(LEN('Proyecto Datos (OKR´s)'!$G$7:$G34)&gt;0)),'Proyecto Datos (OKR´s)'!$G$7:$G34),""),"")</f>
      </c>
      <c r="E34" s="200">
        <f>IF($C34,'Proyecto Datos (OKR´s)'!$E34,"")</f>
      </c>
      <c r="F34" s="201">
        <f>IF($C34,'Proyecto Datos (OKR´s)'!$G34,"")</f>
      </c>
      <c r="G34" s="201">
        <f>IF($C34,IF('Proyecto Datos (OKR´s)'!$I34="","(Sin asignar)",'Proyecto Datos (OKR´s)'!$I34),"")</f>
      </c>
      <c r="H34" s="200">
        <f>IF($C34,IF(ISNUMBER('Proyecto Datos (OKR´s)'!$F34),'Proyecto Datos (OKR´s)'!$F34,'Proyecto Datos (OKR´s)'!$L34),"")</f>
      </c>
      <c r="I34" s="200">
        <f>IF($C34,'Proyecto Datos (OKR´s)'!$J34,"")</f>
      </c>
      <c r="J34" s="201">
        <f>IF($C34,IF($I34&gt;=1,"Completado",IF($H34&lt;TODAY(),"Vencido",IF(($H34-TODAY())&lt;='Entregas Próximas'!$I$3,"Próximo a vencer","En curso"))),"")</f>
      </c>
      <c r="K34" s="200">
        <f>IF($C34,$H34-TODAY(),"")</f>
      </c>
      <c r="L34" s="200">
        <f>IF($C34,$N34*1000000+$H34+ROW()/100000,"")</f>
      </c>
      <c r="M34" s="200">
        <f>IF($C34,IF('Proyecto Datos (OKR´s)'!$E34="","(Sin sprint)",'Proyecto Datos (OKR´s)'!$E34),"")</f>
      </c>
      <c r="N34" s="200">
        <f>IF($C34,IF('Proyecto Datos (OKR´s)'!$E34="",9999,'Proyecto Datos (OKR´s)'!$E34),"")</f>
      </c>
      <c r="P34" s="200">
        <f>ROW()-6</f>
      </c>
      <c r="Q34" s="200">
        <f>IF(COUNTIF($N$7:$N$200,$P34)&gt;0,$P34,"")</f>
      </c>
    </row>
    <row r="35">
      <c r="A35" s="200">
        <f>ROW()</f>
      </c>
      <c r="B35" s="200">
        <f>ISTEXT('Proyecto Datos (OKR´s)'!$K35)</f>
      </c>
      <c r="C35" s="200">
        <f>AND(LEN('Proyecto Datos (OKR´s)'!$G35)&gt;0,NOT($B35),OR(ISNUMBER('Proyecto Datos (OKR´s)'!$F35),ISNUMBER('Proyecto Datos (OKR´s)'!$L35)))</f>
      </c>
      <c r="D35" s="201">
        <f>IF($C35,IFERROR(LOOKUP(2,1/((ISTEXT('Proyecto Datos (OKR´s)'!$K$7:$K35))*(LEN('Proyecto Datos (OKR´s)'!$G$7:$G35)&gt;0)),'Proyecto Datos (OKR´s)'!$G$7:$G35),""),"")</f>
      </c>
      <c r="E35" s="200">
        <f>IF($C35,'Proyecto Datos (OKR´s)'!$E35,"")</f>
      </c>
      <c r="F35" s="201">
        <f>IF($C35,'Proyecto Datos (OKR´s)'!$G35,"")</f>
      </c>
      <c r="G35" s="201">
        <f>IF($C35,IF('Proyecto Datos (OKR´s)'!$I35="","(Sin asignar)",'Proyecto Datos (OKR´s)'!$I35),"")</f>
      </c>
      <c r="H35" s="200">
        <f>IF($C35,IF(ISNUMBER('Proyecto Datos (OKR´s)'!$F35),'Proyecto Datos (OKR´s)'!$F35,'Proyecto Datos (OKR´s)'!$L35),"")</f>
      </c>
      <c r="I35" s="200">
        <f>IF($C35,'Proyecto Datos (OKR´s)'!$J35,"")</f>
      </c>
      <c r="J35" s="201">
        <f>IF($C35,IF($I35&gt;=1,"Completado",IF($H35&lt;TODAY(),"Vencido",IF(($H35-TODAY())&lt;='Entregas Próximas'!$I$3,"Próximo a vencer","En curso"))),"")</f>
      </c>
      <c r="K35" s="200">
        <f>IF($C35,$H35-TODAY(),"")</f>
      </c>
      <c r="L35" s="200">
        <f>IF($C35,$N35*1000000+$H35+ROW()/100000,"")</f>
      </c>
      <c r="M35" s="200">
        <f>IF($C35,IF('Proyecto Datos (OKR´s)'!$E35="","(Sin sprint)",'Proyecto Datos (OKR´s)'!$E35),"")</f>
      </c>
      <c r="N35" s="200">
        <f>IF($C35,IF('Proyecto Datos (OKR´s)'!$E35="",9999,'Proyecto Datos (OKR´s)'!$E35),"")</f>
      </c>
      <c r="P35" s="200">
        <f>ROW()-6</f>
      </c>
      <c r="Q35" s="200">
        <f>IF(COUNTIF($N$7:$N$200,$P35)&gt;0,$P35,"")</f>
      </c>
    </row>
    <row r="36">
      <c r="A36" s="200">
        <f>ROW()</f>
      </c>
      <c r="B36" s="200">
        <f>ISTEXT('Proyecto Datos (OKR´s)'!$K36)</f>
      </c>
      <c r="C36" s="200">
        <f>AND(LEN('Proyecto Datos (OKR´s)'!$G36)&gt;0,NOT($B36),OR(ISNUMBER('Proyecto Datos (OKR´s)'!$F36),ISNUMBER('Proyecto Datos (OKR´s)'!$L36)))</f>
      </c>
      <c r="D36" s="201">
        <f>IF($C36,IFERROR(LOOKUP(2,1/((ISTEXT('Proyecto Datos (OKR´s)'!$K$7:$K36))*(LEN('Proyecto Datos (OKR´s)'!$G$7:$G36)&gt;0)),'Proyecto Datos (OKR´s)'!$G$7:$G36),""),"")</f>
      </c>
      <c r="E36" s="200">
        <f>IF($C36,'Proyecto Datos (OKR´s)'!$E36,"")</f>
      </c>
      <c r="F36" s="201">
        <f>IF($C36,'Proyecto Datos (OKR´s)'!$G36,"")</f>
      </c>
      <c r="G36" s="201">
        <f>IF($C36,IF('Proyecto Datos (OKR´s)'!$I36="","(Sin asignar)",'Proyecto Datos (OKR´s)'!$I36),"")</f>
      </c>
      <c r="H36" s="200">
        <f>IF($C36,IF(ISNUMBER('Proyecto Datos (OKR´s)'!$F36),'Proyecto Datos (OKR´s)'!$F36,'Proyecto Datos (OKR´s)'!$L36),"")</f>
      </c>
      <c r="I36" s="200">
        <f>IF($C36,'Proyecto Datos (OKR´s)'!$J36,"")</f>
      </c>
      <c r="J36" s="201">
        <f>IF($C36,IF($I36&gt;=1,"Completado",IF($H36&lt;TODAY(),"Vencido",IF(($H36-TODAY())&lt;='Entregas Próximas'!$I$3,"Próximo a vencer","En curso"))),"")</f>
      </c>
      <c r="K36" s="200">
        <f>IF($C36,$H36-TODAY(),"")</f>
      </c>
      <c r="L36" s="200">
        <f>IF($C36,$N36*1000000+$H36+ROW()/100000,"")</f>
      </c>
      <c r="M36" s="200">
        <f>IF($C36,IF('Proyecto Datos (OKR´s)'!$E36="","(Sin sprint)",'Proyecto Datos (OKR´s)'!$E36),"")</f>
      </c>
      <c r="N36" s="200">
        <f>IF($C36,IF('Proyecto Datos (OKR´s)'!$E36="",9999,'Proyecto Datos (OKR´s)'!$E36),"")</f>
      </c>
      <c r="P36" s="200">
        <f>ROW()-6</f>
      </c>
      <c r="Q36" s="200">
        <f>IF(COUNTIF($N$7:$N$200,$P36)&gt;0,$P36,"")</f>
      </c>
    </row>
    <row r="37">
      <c r="A37" s="200">
        <f>ROW()</f>
      </c>
      <c r="B37" s="200">
        <f>ISTEXT('Proyecto Datos (OKR´s)'!$K37)</f>
      </c>
      <c r="C37" s="200">
        <f>AND(LEN('Proyecto Datos (OKR´s)'!$G37)&gt;0,NOT($B37),OR(ISNUMBER('Proyecto Datos (OKR´s)'!$F37),ISNUMBER('Proyecto Datos (OKR´s)'!$L37)))</f>
      </c>
      <c r="D37" s="201">
        <f>IF($C37,IFERROR(LOOKUP(2,1/((ISTEXT('Proyecto Datos (OKR´s)'!$K$7:$K37))*(LEN('Proyecto Datos (OKR´s)'!$G$7:$G37)&gt;0)),'Proyecto Datos (OKR´s)'!$G$7:$G37),""),"")</f>
      </c>
      <c r="E37" s="200">
        <f>IF($C37,'Proyecto Datos (OKR´s)'!$E37,"")</f>
      </c>
      <c r="F37" s="201">
        <f>IF($C37,'Proyecto Datos (OKR´s)'!$G37,"")</f>
      </c>
      <c r="G37" s="201">
        <f>IF($C37,IF('Proyecto Datos (OKR´s)'!$I37="","(Sin asignar)",'Proyecto Datos (OKR´s)'!$I37),"")</f>
      </c>
      <c r="H37" s="200">
        <f>IF($C37,IF(ISNUMBER('Proyecto Datos (OKR´s)'!$F37),'Proyecto Datos (OKR´s)'!$F37,'Proyecto Datos (OKR´s)'!$L37),"")</f>
      </c>
      <c r="I37" s="200">
        <f>IF($C37,'Proyecto Datos (OKR´s)'!$J37,"")</f>
      </c>
      <c r="J37" s="201">
        <f>IF($C37,IF($I37&gt;=1,"Completado",IF($H37&lt;TODAY(),"Vencido",IF(($H37-TODAY())&lt;='Entregas Próximas'!$I$3,"Próximo a vencer","En curso"))),"")</f>
      </c>
      <c r="K37" s="200">
        <f>IF($C37,$H37-TODAY(),"")</f>
      </c>
      <c r="L37" s="200">
        <f>IF($C37,$N37*1000000+$H37+ROW()/100000,"")</f>
      </c>
      <c r="M37" s="200">
        <f>IF($C37,IF('Proyecto Datos (OKR´s)'!$E37="","(Sin sprint)",'Proyecto Datos (OKR´s)'!$E37),"")</f>
      </c>
      <c r="N37" s="200">
        <f>IF($C37,IF('Proyecto Datos (OKR´s)'!$E37="",9999,'Proyecto Datos (OKR´s)'!$E37),"")</f>
      </c>
      <c r="P37" s="200">
        <v>9999</v>
      </c>
      <c r="Q37" s="200">
        <f>IF(COUNTIF($N$7:$N$200,9999)&gt;0,9999,"")</f>
      </c>
    </row>
    <row r="38">
      <c r="A38" s="200">
        <f>ROW()</f>
      </c>
      <c r="B38" s="200">
        <f>ISTEXT('Proyecto Datos (OKR´s)'!$K38)</f>
      </c>
      <c r="C38" s="200">
        <f>AND(LEN('Proyecto Datos (OKR´s)'!$G38)&gt;0,NOT($B38),OR(ISNUMBER('Proyecto Datos (OKR´s)'!$F38),ISNUMBER('Proyecto Datos (OKR´s)'!$L38)))</f>
      </c>
      <c r="D38" s="201">
        <f>IF($C38,IFERROR(LOOKUP(2,1/((ISTEXT('Proyecto Datos (OKR´s)'!$K$7:$K38))*(LEN('Proyecto Datos (OKR´s)'!$G$7:$G38)&gt;0)),'Proyecto Datos (OKR´s)'!$G$7:$G38),""),"")</f>
      </c>
      <c r="E38" s="200">
        <f>IF($C38,'Proyecto Datos (OKR´s)'!$E38,"")</f>
      </c>
      <c r="F38" s="201">
        <f>IF($C38,'Proyecto Datos (OKR´s)'!$G38,"")</f>
      </c>
      <c r="G38" s="201">
        <f>IF($C38,IF('Proyecto Datos (OKR´s)'!$I38="","(Sin asignar)",'Proyecto Datos (OKR´s)'!$I38),"")</f>
      </c>
      <c r="H38" s="200">
        <f>IF($C38,IF(ISNUMBER('Proyecto Datos (OKR´s)'!$F38),'Proyecto Datos (OKR´s)'!$F38,'Proyecto Datos (OKR´s)'!$L38),"")</f>
      </c>
      <c r="I38" s="200">
        <f>IF($C38,'Proyecto Datos (OKR´s)'!$J38,"")</f>
      </c>
      <c r="J38" s="201">
        <f>IF($C38,IF($I38&gt;=1,"Completado",IF($H38&lt;TODAY(),"Vencido",IF(($H38-TODAY())&lt;='Entregas Próximas'!$I$3,"Próximo a vencer","En curso"))),"")</f>
      </c>
      <c r="K38" s="200">
        <f>IF($C38,$H38-TODAY(),"")</f>
      </c>
      <c r="L38" s="200">
        <f>IF($C38,$N38*1000000+$H38+ROW()/100000,"")</f>
      </c>
      <c r="M38" s="200">
        <f>IF($C38,IF('Proyecto Datos (OKR´s)'!$E38="","(Sin sprint)",'Proyecto Datos (OKR´s)'!$E38),"")</f>
      </c>
      <c r="N38" s="200">
        <f>IF($C38,IF('Proyecto Datos (OKR´s)'!$E38="",9999,'Proyecto Datos (OKR´s)'!$E38),"")</f>
      </c>
    </row>
    <row r="39">
      <c r="A39" s="200">
        <f>ROW()</f>
      </c>
      <c r="B39" s="200">
        <f>ISTEXT('Proyecto Datos (OKR´s)'!$K39)</f>
      </c>
      <c r="C39" s="200">
        <f>AND(LEN('Proyecto Datos (OKR´s)'!$G39)&gt;0,NOT($B39),OR(ISNUMBER('Proyecto Datos (OKR´s)'!$F39),ISNUMBER('Proyecto Datos (OKR´s)'!$L39)))</f>
      </c>
      <c r="D39" s="201">
        <f>IF($C39,IFERROR(LOOKUP(2,1/((ISTEXT('Proyecto Datos (OKR´s)'!$K$7:$K39))*(LEN('Proyecto Datos (OKR´s)'!$G$7:$G39)&gt;0)),'Proyecto Datos (OKR´s)'!$G$7:$G39),""),"")</f>
      </c>
      <c r="E39" s="200">
        <f>IF($C39,'Proyecto Datos (OKR´s)'!$E39,"")</f>
      </c>
      <c r="F39" s="201">
        <f>IF($C39,'Proyecto Datos (OKR´s)'!$G39,"")</f>
      </c>
      <c r="G39" s="201">
        <f>IF($C39,IF('Proyecto Datos (OKR´s)'!$I39="","(Sin asignar)",'Proyecto Datos (OKR´s)'!$I39),"")</f>
      </c>
      <c r="H39" s="200">
        <f>IF($C39,IF(ISNUMBER('Proyecto Datos (OKR´s)'!$F39),'Proyecto Datos (OKR´s)'!$F39,'Proyecto Datos (OKR´s)'!$L39),"")</f>
      </c>
      <c r="I39" s="200">
        <f>IF($C39,'Proyecto Datos (OKR´s)'!$J39,"")</f>
      </c>
      <c r="J39" s="201">
        <f>IF($C39,IF($I39&gt;=1,"Completado",IF($H39&lt;TODAY(),"Vencido",IF(($H39-TODAY())&lt;='Entregas Próximas'!$I$3,"Próximo a vencer","En curso"))),"")</f>
      </c>
      <c r="K39" s="200">
        <f>IF($C39,$H39-TODAY(),"")</f>
      </c>
      <c r="L39" s="200">
        <f>IF($C39,$N39*1000000+$H39+ROW()/100000,"")</f>
      </c>
      <c r="M39" s="200">
        <f>IF($C39,IF('Proyecto Datos (OKR´s)'!$E39="","(Sin sprint)",'Proyecto Datos (OKR´s)'!$E39),"")</f>
      </c>
      <c r="N39" s="200">
        <f>IF($C39,IF('Proyecto Datos (OKR´s)'!$E39="",9999,'Proyecto Datos (OKR´s)'!$E39),"")</f>
      </c>
    </row>
    <row r="40">
      <c r="A40" s="200">
        <f>ROW()</f>
      </c>
      <c r="B40" s="200">
        <f>ISTEXT('Proyecto Datos (OKR´s)'!$K40)</f>
      </c>
      <c r="C40" s="200">
        <f>AND(LEN('Proyecto Datos (OKR´s)'!$G40)&gt;0,NOT($B40),OR(ISNUMBER('Proyecto Datos (OKR´s)'!$F40),ISNUMBER('Proyecto Datos (OKR´s)'!$L40)))</f>
      </c>
      <c r="D40" s="201">
        <f>IF($C40,IFERROR(LOOKUP(2,1/((ISTEXT('Proyecto Datos (OKR´s)'!$K$7:$K40))*(LEN('Proyecto Datos (OKR´s)'!$G$7:$G40)&gt;0)),'Proyecto Datos (OKR´s)'!$G$7:$G40),""),"")</f>
      </c>
      <c r="E40" s="200">
        <f>IF($C40,'Proyecto Datos (OKR´s)'!$E40,"")</f>
      </c>
      <c r="F40" s="201">
        <f>IF($C40,'Proyecto Datos (OKR´s)'!$G40,"")</f>
      </c>
      <c r="G40" s="201">
        <f>IF($C40,IF('Proyecto Datos (OKR´s)'!$I40="","(Sin asignar)",'Proyecto Datos (OKR´s)'!$I40),"")</f>
      </c>
      <c r="H40" s="200">
        <f>IF($C40,IF(ISNUMBER('Proyecto Datos (OKR´s)'!$F40),'Proyecto Datos (OKR´s)'!$F40,'Proyecto Datos (OKR´s)'!$L40),"")</f>
      </c>
      <c r="I40" s="200">
        <f>IF($C40,'Proyecto Datos (OKR´s)'!$J40,"")</f>
      </c>
      <c r="J40" s="201">
        <f>IF($C40,IF($I40&gt;=1,"Completado",IF($H40&lt;TODAY(),"Vencido",IF(($H40-TODAY())&lt;='Entregas Próximas'!$I$3,"Próximo a vencer","En curso"))),"")</f>
      </c>
      <c r="K40" s="200">
        <f>IF($C40,$H40-TODAY(),"")</f>
      </c>
      <c r="L40" s="200">
        <f>IF($C40,$N40*1000000+$H40+ROW()/100000,"")</f>
      </c>
      <c r="M40" s="200">
        <f>IF($C40,IF('Proyecto Datos (OKR´s)'!$E40="","(Sin sprint)",'Proyecto Datos (OKR´s)'!$E40),"")</f>
      </c>
      <c r="N40" s="200">
        <f>IF($C40,IF('Proyecto Datos (OKR´s)'!$E40="",9999,'Proyecto Datos (OKR´s)'!$E40),"")</f>
      </c>
    </row>
    <row r="41">
      <c r="A41" s="200">
        <f>ROW()</f>
      </c>
      <c r="B41" s="200">
        <f>ISTEXT('Proyecto Datos (OKR´s)'!$K41)</f>
      </c>
      <c r="C41" s="200">
        <f>AND(LEN('Proyecto Datos (OKR´s)'!$G41)&gt;0,NOT($B41),OR(ISNUMBER('Proyecto Datos (OKR´s)'!$F41),ISNUMBER('Proyecto Datos (OKR´s)'!$L41)))</f>
      </c>
      <c r="D41" s="201">
        <f>IF($C41,IFERROR(LOOKUP(2,1/((ISTEXT('Proyecto Datos (OKR´s)'!$K$7:$K41))*(LEN('Proyecto Datos (OKR´s)'!$G$7:$G41)&gt;0)),'Proyecto Datos (OKR´s)'!$G$7:$G41),""),"")</f>
      </c>
      <c r="E41" s="200">
        <f>IF($C41,'Proyecto Datos (OKR´s)'!$E41,"")</f>
      </c>
      <c r="F41" s="201">
        <f>IF($C41,'Proyecto Datos (OKR´s)'!$G41,"")</f>
      </c>
      <c r="G41" s="201">
        <f>IF($C41,IF('Proyecto Datos (OKR´s)'!$I41="","(Sin asignar)",'Proyecto Datos (OKR´s)'!$I41),"")</f>
      </c>
      <c r="H41" s="200">
        <f>IF($C41,IF(ISNUMBER('Proyecto Datos (OKR´s)'!$F41),'Proyecto Datos (OKR´s)'!$F41,'Proyecto Datos (OKR´s)'!$L41),"")</f>
      </c>
      <c r="I41" s="200">
        <f>IF($C41,'Proyecto Datos (OKR´s)'!$J41,"")</f>
      </c>
      <c r="J41" s="201">
        <f>IF($C41,IF($I41&gt;=1,"Completado",IF($H41&lt;TODAY(),"Vencido",IF(($H41-TODAY())&lt;='Entregas Próximas'!$I$3,"Próximo a vencer","En curso"))),"")</f>
      </c>
      <c r="K41" s="200">
        <f>IF($C41,$H41-TODAY(),"")</f>
      </c>
      <c r="L41" s="200">
        <f>IF($C41,$N41*1000000+$H41+ROW()/100000,"")</f>
      </c>
      <c r="M41" s="200">
        <f>IF($C41,IF('Proyecto Datos (OKR´s)'!$E41="","(Sin sprint)",'Proyecto Datos (OKR´s)'!$E41),"")</f>
      </c>
      <c r="N41" s="200">
        <f>IF($C41,IF('Proyecto Datos (OKR´s)'!$E41="",9999,'Proyecto Datos (OKR´s)'!$E41),"")</f>
      </c>
    </row>
    <row r="42">
      <c r="A42" s="200">
        <f>ROW()</f>
      </c>
      <c r="B42" s="200">
        <f>ISTEXT('Proyecto Datos (OKR´s)'!$K42)</f>
      </c>
      <c r="C42" s="200">
        <f>AND(LEN('Proyecto Datos (OKR´s)'!$G42)&gt;0,NOT($B42),OR(ISNUMBER('Proyecto Datos (OKR´s)'!$F42),ISNUMBER('Proyecto Datos (OKR´s)'!$L42)))</f>
      </c>
      <c r="D42" s="201">
        <f>IF($C42,IFERROR(LOOKUP(2,1/((ISTEXT('Proyecto Datos (OKR´s)'!$K$7:$K42))*(LEN('Proyecto Datos (OKR´s)'!$G$7:$G42)&gt;0)),'Proyecto Datos (OKR´s)'!$G$7:$G42),""),"")</f>
      </c>
      <c r="E42" s="200">
        <f>IF($C42,'Proyecto Datos (OKR´s)'!$E42,"")</f>
      </c>
      <c r="F42" s="201">
        <f>IF($C42,'Proyecto Datos (OKR´s)'!$G42,"")</f>
      </c>
      <c r="G42" s="201">
        <f>IF($C42,IF('Proyecto Datos (OKR´s)'!$I42="","(Sin asignar)",'Proyecto Datos (OKR´s)'!$I42),"")</f>
      </c>
      <c r="H42" s="200">
        <f>IF($C42,IF(ISNUMBER('Proyecto Datos (OKR´s)'!$F42),'Proyecto Datos (OKR´s)'!$F42,'Proyecto Datos (OKR´s)'!$L42),"")</f>
      </c>
      <c r="I42" s="200">
        <f>IF($C42,'Proyecto Datos (OKR´s)'!$J42,"")</f>
      </c>
      <c r="J42" s="201">
        <f>IF($C42,IF($I42&gt;=1,"Completado",IF($H42&lt;TODAY(),"Vencido",IF(($H42-TODAY())&lt;='Entregas Próximas'!$I$3,"Próximo a vencer","En curso"))),"")</f>
      </c>
      <c r="K42" s="200">
        <f>IF($C42,$H42-TODAY(),"")</f>
      </c>
      <c r="L42" s="200">
        <f>IF($C42,$N42*1000000+$H42+ROW()/100000,"")</f>
      </c>
      <c r="M42" s="200">
        <f>IF($C42,IF('Proyecto Datos (OKR´s)'!$E42="","(Sin sprint)",'Proyecto Datos (OKR´s)'!$E42),"")</f>
      </c>
      <c r="N42" s="200">
        <f>IF($C42,IF('Proyecto Datos (OKR´s)'!$E42="",9999,'Proyecto Datos (OKR´s)'!$E42),"")</f>
      </c>
    </row>
    <row r="43">
      <c r="A43" s="200">
        <f>ROW()</f>
      </c>
      <c r="B43" s="200">
        <f>ISTEXT('Proyecto Datos (OKR´s)'!$K43)</f>
      </c>
      <c r="C43" s="200">
        <f>AND(LEN('Proyecto Datos (OKR´s)'!$G43)&gt;0,NOT($B43),OR(ISNUMBER('Proyecto Datos (OKR´s)'!$F43),ISNUMBER('Proyecto Datos (OKR´s)'!$L43)))</f>
      </c>
      <c r="D43" s="201">
        <f>IF($C43,IFERROR(LOOKUP(2,1/((ISTEXT('Proyecto Datos (OKR´s)'!$K$7:$K43))*(LEN('Proyecto Datos (OKR´s)'!$G$7:$G43)&gt;0)),'Proyecto Datos (OKR´s)'!$G$7:$G43),""),"")</f>
      </c>
      <c r="E43" s="200">
        <f>IF($C43,'Proyecto Datos (OKR´s)'!$E43,"")</f>
      </c>
      <c r="F43" s="201">
        <f>IF($C43,'Proyecto Datos (OKR´s)'!$G43,"")</f>
      </c>
      <c r="G43" s="201">
        <f>IF($C43,IF('Proyecto Datos (OKR´s)'!$I43="","(Sin asignar)",'Proyecto Datos (OKR´s)'!$I43),"")</f>
      </c>
      <c r="H43" s="200">
        <f>IF($C43,IF(ISNUMBER('Proyecto Datos (OKR´s)'!$F43),'Proyecto Datos (OKR´s)'!$F43,'Proyecto Datos (OKR´s)'!$L43),"")</f>
      </c>
      <c r="I43" s="200">
        <f>IF($C43,'Proyecto Datos (OKR´s)'!$J43,"")</f>
      </c>
      <c r="J43" s="201">
        <f>IF($C43,IF($I43&gt;=1,"Completado",IF($H43&lt;TODAY(),"Vencido",IF(($H43-TODAY())&lt;='Entregas Próximas'!$I$3,"Próximo a vencer","En curso"))),"")</f>
      </c>
      <c r="K43" s="200">
        <f>IF($C43,$H43-TODAY(),"")</f>
      </c>
      <c r="L43" s="200">
        <f>IF($C43,$N43*1000000+$H43+ROW()/100000,"")</f>
      </c>
      <c r="M43" s="200">
        <f>IF($C43,IF('Proyecto Datos (OKR´s)'!$E43="","(Sin sprint)",'Proyecto Datos (OKR´s)'!$E43),"")</f>
      </c>
      <c r="N43" s="200">
        <f>IF($C43,IF('Proyecto Datos (OKR´s)'!$E43="",9999,'Proyecto Datos (OKR´s)'!$E43),"")</f>
      </c>
    </row>
    <row r="44">
      <c r="A44" s="200">
        <f>ROW()</f>
      </c>
      <c r="B44" s="200">
        <f>ISTEXT('Proyecto Datos (OKR´s)'!$K44)</f>
      </c>
      <c r="C44" s="200">
        <f>AND(LEN('Proyecto Datos (OKR´s)'!$G44)&gt;0,NOT($B44),OR(ISNUMBER('Proyecto Datos (OKR´s)'!$F44),ISNUMBER('Proyecto Datos (OKR´s)'!$L44)))</f>
      </c>
      <c r="D44" s="201">
        <f>IF($C44,IFERROR(LOOKUP(2,1/((ISTEXT('Proyecto Datos (OKR´s)'!$K$7:$K44))*(LEN('Proyecto Datos (OKR´s)'!$G$7:$G44)&gt;0)),'Proyecto Datos (OKR´s)'!$G$7:$G44),""),"")</f>
      </c>
      <c r="E44" s="200">
        <f>IF($C44,'Proyecto Datos (OKR´s)'!$E44,"")</f>
      </c>
      <c r="F44" s="201">
        <f>IF($C44,'Proyecto Datos (OKR´s)'!$G44,"")</f>
      </c>
      <c r="G44" s="201">
        <f>IF($C44,IF('Proyecto Datos (OKR´s)'!$I44="","(Sin asignar)",'Proyecto Datos (OKR´s)'!$I44),"")</f>
      </c>
      <c r="H44" s="200">
        <f>IF($C44,IF(ISNUMBER('Proyecto Datos (OKR´s)'!$F44),'Proyecto Datos (OKR´s)'!$F44,'Proyecto Datos (OKR´s)'!$L44),"")</f>
      </c>
      <c r="I44" s="200">
        <f>IF($C44,'Proyecto Datos (OKR´s)'!$J44,"")</f>
      </c>
      <c r="J44" s="201">
        <f>IF($C44,IF($I44&gt;=1,"Completado",IF($H44&lt;TODAY(),"Vencido",IF(($H44-TODAY())&lt;='Entregas Próximas'!$I$3,"Próximo a vencer","En curso"))),"")</f>
      </c>
      <c r="K44" s="200">
        <f>IF($C44,$H44-TODAY(),"")</f>
      </c>
      <c r="L44" s="200">
        <f>IF($C44,$N44*1000000+$H44+ROW()/100000,"")</f>
      </c>
      <c r="M44" s="200">
        <f>IF($C44,IF('Proyecto Datos (OKR´s)'!$E44="","(Sin sprint)",'Proyecto Datos (OKR´s)'!$E44),"")</f>
      </c>
      <c r="N44" s="200">
        <f>IF($C44,IF('Proyecto Datos (OKR´s)'!$E44="",9999,'Proyecto Datos (OKR´s)'!$E44),"")</f>
      </c>
    </row>
    <row r="45">
      <c r="A45" s="200">
        <f>ROW()</f>
      </c>
      <c r="B45" s="200">
        <f>ISTEXT('Proyecto Datos (OKR´s)'!$K45)</f>
      </c>
      <c r="C45" s="200">
        <f>AND(LEN('Proyecto Datos (OKR´s)'!$G45)&gt;0,NOT($B45),OR(ISNUMBER('Proyecto Datos (OKR´s)'!$F45),ISNUMBER('Proyecto Datos (OKR´s)'!$L45)))</f>
      </c>
      <c r="D45" s="201">
        <f>IF($C45,IFERROR(LOOKUP(2,1/((ISTEXT('Proyecto Datos (OKR´s)'!$K$7:$K45))*(LEN('Proyecto Datos (OKR´s)'!$G$7:$G45)&gt;0)),'Proyecto Datos (OKR´s)'!$G$7:$G45),""),"")</f>
      </c>
      <c r="E45" s="200">
        <f>IF($C45,'Proyecto Datos (OKR´s)'!$E45,"")</f>
      </c>
      <c r="F45" s="201">
        <f>IF($C45,'Proyecto Datos (OKR´s)'!$G45,"")</f>
      </c>
      <c r="G45" s="201">
        <f>IF($C45,IF('Proyecto Datos (OKR´s)'!$I45="","(Sin asignar)",'Proyecto Datos (OKR´s)'!$I45),"")</f>
      </c>
      <c r="H45" s="200">
        <f>IF($C45,IF(ISNUMBER('Proyecto Datos (OKR´s)'!$F45),'Proyecto Datos (OKR´s)'!$F45,'Proyecto Datos (OKR´s)'!$L45),"")</f>
      </c>
      <c r="I45" s="200">
        <f>IF($C45,'Proyecto Datos (OKR´s)'!$J45,"")</f>
      </c>
      <c r="J45" s="201">
        <f>IF($C45,IF($I45&gt;=1,"Completado",IF($H45&lt;TODAY(),"Vencido",IF(($H45-TODAY())&lt;='Entregas Próximas'!$I$3,"Próximo a vencer","En curso"))),"")</f>
      </c>
      <c r="K45" s="200">
        <f>IF($C45,$H45-TODAY(),"")</f>
      </c>
      <c r="L45" s="200">
        <f>IF($C45,$N45*1000000+$H45+ROW()/100000,"")</f>
      </c>
      <c r="M45" s="200">
        <f>IF($C45,IF('Proyecto Datos (OKR´s)'!$E45="","(Sin sprint)",'Proyecto Datos (OKR´s)'!$E45),"")</f>
      </c>
      <c r="N45" s="200">
        <f>IF($C45,IF('Proyecto Datos (OKR´s)'!$E45="",9999,'Proyecto Datos (OKR´s)'!$E45),"")</f>
      </c>
    </row>
    <row r="46">
      <c r="A46" s="200">
        <f>ROW()</f>
      </c>
      <c r="B46" s="200">
        <f>ISTEXT('Proyecto Datos (OKR´s)'!$K46)</f>
      </c>
      <c r="C46" s="200">
        <f>AND(LEN('Proyecto Datos (OKR´s)'!$G46)&gt;0,NOT($B46),OR(ISNUMBER('Proyecto Datos (OKR´s)'!$F46),ISNUMBER('Proyecto Datos (OKR´s)'!$L46)))</f>
      </c>
      <c r="D46" s="201">
        <f>IF($C46,IFERROR(LOOKUP(2,1/((ISTEXT('Proyecto Datos (OKR´s)'!$K$7:$K46))*(LEN('Proyecto Datos (OKR´s)'!$G$7:$G46)&gt;0)),'Proyecto Datos (OKR´s)'!$G$7:$G46),""),"")</f>
      </c>
      <c r="E46" s="200">
        <f>IF($C46,'Proyecto Datos (OKR´s)'!$E46,"")</f>
      </c>
      <c r="F46" s="201">
        <f>IF($C46,'Proyecto Datos (OKR´s)'!$G46,"")</f>
      </c>
      <c r="G46" s="201">
        <f>IF($C46,IF('Proyecto Datos (OKR´s)'!$I46="","(Sin asignar)",'Proyecto Datos (OKR´s)'!$I46),"")</f>
      </c>
      <c r="H46" s="200">
        <f>IF($C46,IF(ISNUMBER('Proyecto Datos (OKR´s)'!$F46),'Proyecto Datos (OKR´s)'!$F46,'Proyecto Datos (OKR´s)'!$L46),"")</f>
      </c>
      <c r="I46" s="200">
        <f>IF($C46,'Proyecto Datos (OKR´s)'!$J46,"")</f>
      </c>
      <c r="J46" s="201">
        <f>IF($C46,IF($I46&gt;=1,"Completado",IF($H46&lt;TODAY(),"Vencido",IF(($H46-TODAY())&lt;='Entregas Próximas'!$I$3,"Próximo a vencer","En curso"))),"")</f>
      </c>
      <c r="K46" s="200">
        <f>IF($C46,$H46-TODAY(),"")</f>
      </c>
      <c r="L46" s="200">
        <f>IF($C46,$N46*1000000+$H46+ROW()/100000,"")</f>
      </c>
      <c r="M46" s="200">
        <f>IF($C46,IF('Proyecto Datos (OKR´s)'!$E46="","(Sin sprint)",'Proyecto Datos (OKR´s)'!$E46),"")</f>
      </c>
      <c r="N46" s="200">
        <f>IF($C46,IF('Proyecto Datos (OKR´s)'!$E46="",9999,'Proyecto Datos (OKR´s)'!$E46),"")</f>
      </c>
    </row>
    <row r="47">
      <c r="A47" s="200">
        <f>ROW()</f>
      </c>
      <c r="B47" s="200">
        <f>ISTEXT('Proyecto Datos (OKR´s)'!$K47)</f>
      </c>
      <c r="C47" s="200">
        <f>AND(LEN('Proyecto Datos (OKR´s)'!$G47)&gt;0,NOT($B47),OR(ISNUMBER('Proyecto Datos (OKR´s)'!$F47),ISNUMBER('Proyecto Datos (OKR´s)'!$L47)))</f>
      </c>
      <c r="D47" s="201">
        <f>IF($C47,IFERROR(LOOKUP(2,1/((ISTEXT('Proyecto Datos (OKR´s)'!$K$7:$K47))*(LEN('Proyecto Datos (OKR´s)'!$G$7:$G47)&gt;0)),'Proyecto Datos (OKR´s)'!$G$7:$G47),""),"")</f>
      </c>
      <c r="E47" s="200">
        <f>IF($C47,'Proyecto Datos (OKR´s)'!$E47,"")</f>
      </c>
      <c r="F47" s="201">
        <f>IF($C47,'Proyecto Datos (OKR´s)'!$G47,"")</f>
      </c>
      <c r="G47" s="201">
        <f>IF($C47,IF('Proyecto Datos (OKR´s)'!$I47="","(Sin asignar)",'Proyecto Datos (OKR´s)'!$I47),"")</f>
      </c>
      <c r="H47" s="200">
        <f>IF($C47,IF(ISNUMBER('Proyecto Datos (OKR´s)'!$F47),'Proyecto Datos (OKR´s)'!$F47,'Proyecto Datos (OKR´s)'!$L47),"")</f>
      </c>
      <c r="I47" s="200">
        <f>IF($C47,'Proyecto Datos (OKR´s)'!$J47,"")</f>
      </c>
      <c r="J47" s="201">
        <f>IF($C47,IF($I47&gt;=1,"Completado",IF($H47&lt;TODAY(),"Vencido",IF(($H47-TODAY())&lt;='Entregas Próximas'!$I$3,"Próximo a vencer","En curso"))),"")</f>
      </c>
      <c r="K47" s="200">
        <f>IF($C47,$H47-TODAY(),"")</f>
      </c>
      <c r="L47" s="200">
        <f>IF($C47,$N47*1000000+$H47+ROW()/100000,"")</f>
      </c>
      <c r="M47" s="200">
        <f>IF($C47,IF('Proyecto Datos (OKR´s)'!$E47="","(Sin sprint)",'Proyecto Datos (OKR´s)'!$E47),"")</f>
      </c>
      <c r="N47" s="200">
        <f>IF($C47,IF('Proyecto Datos (OKR´s)'!$E47="",9999,'Proyecto Datos (OKR´s)'!$E47),"")</f>
      </c>
    </row>
    <row r="48">
      <c r="A48" s="200">
        <f>ROW()</f>
      </c>
      <c r="B48" s="200">
        <f>ISTEXT('Proyecto Datos (OKR´s)'!$K48)</f>
      </c>
      <c r="C48" s="200">
        <f>AND(LEN('Proyecto Datos (OKR´s)'!$G48)&gt;0,NOT($B48),OR(ISNUMBER('Proyecto Datos (OKR´s)'!$F48),ISNUMBER('Proyecto Datos (OKR´s)'!$L48)))</f>
      </c>
      <c r="D48" s="201">
        <f>IF($C48,IFERROR(LOOKUP(2,1/((ISTEXT('Proyecto Datos (OKR´s)'!$K$7:$K48))*(LEN('Proyecto Datos (OKR´s)'!$G$7:$G48)&gt;0)),'Proyecto Datos (OKR´s)'!$G$7:$G48),""),"")</f>
      </c>
      <c r="E48" s="200">
        <f>IF($C48,'Proyecto Datos (OKR´s)'!$E48,"")</f>
      </c>
      <c r="F48" s="201">
        <f>IF($C48,'Proyecto Datos (OKR´s)'!$G48,"")</f>
      </c>
      <c r="G48" s="201">
        <f>IF($C48,IF('Proyecto Datos (OKR´s)'!$I48="","(Sin asignar)",'Proyecto Datos (OKR´s)'!$I48),"")</f>
      </c>
      <c r="H48" s="200">
        <f>IF($C48,IF(ISNUMBER('Proyecto Datos (OKR´s)'!$F48),'Proyecto Datos (OKR´s)'!$F48,'Proyecto Datos (OKR´s)'!$L48),"")</f>
      </c>
      <c r="I48" s="200">
        <f>IF($C48,'Proyecto Datos (OKR´s)'!$J48,"")</f>
      </c>
      <c r="J48" s="201">
        <f>IF($C48,IF($I48&gt;=1,"Completado",IF($H48&lt;TODAY(),"Vencido",IF(($H48-TODAY())&lt;='Entregas Próximas'!$I$3,"Próximo a vencer","En curso"))),"")</f>
      </c>
      <c r="K48" s="200">
        <f>IF($C48,$H48-TODAY(),"")</f>
      </c>
      <c r="L48" s="200">
        <f>IF($C48,$N48*1000000+$H48+ROW()/100000,"")</f>
      </c>
      <c r="M48" s="200">
        <f>IF($C48,IF('Proyecto Datos (OKR´s)'!$E48="","(Sin sprint)",'Proyecto Datos (OKR´s)'!$E48),"")</f>
      </c>
      <c r="N48" s="200">
        <f>IF($C48,IF('Proyecto Datos (OKR´s)'!$E48="",9999,'Proyecto Datos (OKR´s)'!$E48),"")</f>
      </c>
    </row>
    <row r="49">
      <c r="A49" s="200">
        <f>ROW()</f>
      </c>
      <c r="B49" s="200">
        <f>ISTEXT('Proyecto Datos (OKR´s)'!$K49)</f>
      </c>
      <c r="C49" s="200">
        <f>AND(LEN('Proyecto Datos (OKR´s)'!$G49)&gt;0,NOT($B49),OR(ISNUMBER('Proyecto Datos (OKR´s)'!$F49),ISNUMBER('Proyecto Datos (OKR´s)'!$L49)))</f>
      </c>
      <c r="D49" s="201">
        <f>IF($C49,IFERROR(LOOKUP(2,1/((ISTEXT('Proyecto Datos (OKR´s)'!$K$7:$K49))*(LEN('Proyecto Datos (OKR´s)'!$G$7:$G49)&gt;0)),'Proyecto Datos (OKR´s)'!$G$7:$G49),""),"")</f>
      </c>
      <c r="E49" s="200">
        <f>IF($C49,'Proyecto Datos (OKR´s)'!$E49,"")</f>
      </c>
      <c r="F49" s="201">
        <f>IF($C49,'Proyecto Datos (OKR´s)'!$G49,"")</f>
      </c>
      <c r="G49" s="201">
        <f>IF($C49,IF('Proyecto Datos (OKR´s)'!$I49="","(Sin asignar)",'Proyecto Datos (OKR´s)'!$I49),"")</f>
      </c>
      <c r="H49" s="200">
        <f>IF($C49,IF(ISNUMBER('Proyecto Datos (OKR´s)'!$F49),'Proyecto Datos (OKR´s)'!$F49,'Proyecto Datos (OKR´s)'!$L49),"")</f>
      </c>
      <c r="I49" s="200">
        <f>IF($C49,'Proyecto Datos (OKR´s)'!$J49,"")</f>
      </c>
      <c r="J49" s="201">
        <f>IF($C49,IF($I49&gt;=1,"Completado",IF($H49&lt;TODAY(),"Vencido",IF(($H49-TODAY())&lt;='Entregas Próximas'!$I$3,"Próximo a vencer","En curso"))),"")</f>
      </c>
      <c r="K49" s="200">
        <f>IF($C49,$H49-TODAY(),"")</f>
      </c>
      <c r="L49" s="200">
        <f>IF($C49,$N49*1000000+$H49+ROW()/100000,"")</f>
      </c>
      <c r="M49" s="200">
        <f>IF($C49,IF('Proyecto Datos (OKR´s)'!$E49="","(Sin sprint)",'Proyecto Datos (OKR´s)'!$E49),"")</f>
      </c>
      <c r="N49" s="200">
        <f>IF($C49,IF('Proyecto Datos (OKR´s)'!$E49="",9999,'Proyecto Datos (OKR´s)'!$E49),"")</f>
      </c>
    </row>
    <row r="50">
      <c r="A50" s="200">
        <f>ROW()</f>
      </c>
      <c r="B50" s="200">
        <f>ISTEXT('Proyecto Datos (OKR´s)'!$K50)</f>
      </c>
      <c r="C50" s="200">
        <f>AND(LEN('Proyecto Datos (OKR´s)'!$G50)&gt;0,NOT($B50),OR(ISNUMBER('Proyecto Datos (OKR´s)'!$F50),ISNUMBER('Proyecto Datos (OKR´s)'!$L50)))</f>
      </c>
      <c r="D50" s="201">
        <f>IF($C50,IFERROR(LOOKUP(2,1/((ISTEXT('Proyecto Datos (OKR´s)'!$K$7:$K50))*(LEN('Proyecto Datos (OKR´s)'!$G$7:$G50)&gt;0)),'Proyecto Datos (OKR´s)'!$G$7:$G50),""),"")</f>
      </c>
      <c r="E50" s="200">
        <f>IF($C50,'Proyecto Datos (OKR´s)'!$E50,"")</f>
      </c>
      <c r="F50" s="201">
        <f>IF($C50,'Proyecto Datos (OKR´s)'!$G50,"")</f>
      </c>
      <c r="G50" s="201">
        <f>IF($C50,IF('Proyecto Datos (OKR´s)'!$I50="","(Sin asignar)",'Proyecto Datos (OKR´s)'!$I50),"")</f>
      </c>
      <c r="H50" s="200">
        <f>IF($C50,IF(ISNUMBER('Proyecto Datos (OKR´s)'!$F50),'Proyecto Datos (OKR´s)'!$F50,'Proyecto Datos (OKR´s)'!$L50),"")</f>
      </c>
      <c r="I50" s="200">
        <f>IF($C50,'Proyecto Datos (OKR´s)'!$J50,"")</f>
      </c>
      <c r="J50" s="201">
        <f>IF($C50,IF($I50&gt;=1,"Completado",IF($H50&lt;TODAY(),"Vencido",IF(($H50-TODAY())&lt;='Entregas Próximas'!$I$3,"Próximo a vencer","En curso"))),"")</f>
      </c>
      <c r="K50" s="200">
        <f>IF($C50,$H50-TODAY(),"")</f>
      </c>
      <c r="L50" s="200">
        <f>IF($C50,$N50*1000000+$H50+ROW()/100000,"")</f>
      </c>
      <c r="M50" s="200">
        <f>IF($C50,IF('Proyecto Datos (OKR´s)'!$E50="","(Sin sprint)",'Proyecto Datos (OKR´s)'!$E50),"")</f>
      </c>
      <c r="N50" s="200">
        <f>IF($C50,IF('Proyecto Datos (OKR´s)'!$E50="",9999,'Proyecto Datos (OKR´s)'!$E50),"")</f>
      </c>
    </row>
    <row r="51">
      <c r="A51" s="200">
        <f>ROW()</f>
      </c>
      <c r="B51" s="200">
        <f>ISTEXT('Proyecto Datos (OKR´s)'!$K51)</f>
      </c>
      <c r="C51" s="200">
        <f>AND(LEN('Proyecto Datos (OKR´s)'!$G51)&gt;0,NOT($B51),OR(ISNUMBER('Proyecto Datos (OKR´s)'!$F51),ISNUMBER('Proyecto Datos (OKR´s)'!$L51)))</f>
      </c>
      <c r="D51" s="201">
        <f>IF($C51,IFERROR(LOOKUP(2,1/((ISTEXT('Proyecto Datos (OKR´s)'!$K$7:$K51))*(LEN('Proyecto Datos (OKR´s)'!$G$7:$G51)&gt;0)),'Proyecto Datos (OKR´s)'!$G$7:$G51),""),"")</f>
      </c>
      <c r="E51" s="200">
        <f>IF($C51,'Proyecto Datos (OKR´s)'!$E51,"")</f>
      </c>
      <c r="F51" s="201">
        <f>IF($C51,'Proyecto Datos (OKR´s)'!$G51,"")</f>
      </c>
      <c r="G51" s="201">
        <f>IF($C51,IF('Proyecto Datos (OKR´s)'!$I51="","(Sin asignar)",'Proyecto Datos (OKR´s)'!$I51),"")</f>
      </c>
      <c r="H51" s="200">
        <f>IF($C51,IF(ISNUMBER('Proyecto Datos (OKR´s)'!$F51),'Proyecto Datos (OKR´s)'!$F51,'Proyecto Datos (OKR´s)'!$L51),"")</f>
      </c>
      <c r="I51" s="200">
        <f>IF($C51,'Proyecto Datos (OKR´s)'!$J51,"")</f>
      </c>
      <c r="J51" s="201">
        <f>IF($C51,IF($I51&gt;=1,"Completado",IF($H51&lt;TODAY(),"Vencido",IF(($H51-TODAY())&lt;='Entregas Próximas'!$I$3,"Próximo a vencer","En curso"))),"")</f>
      </c>
      <c r="K51" s="200">
        <f>IF($C51,$H51-TODAY(),"")</f>
      </c>
      <c r="L51" s="200">
        <f>IF($C51,$N51*1000000+$H51+ROW()/100000,"")</f>
      </c>
      <c r="M51" s="200">
        <f>IF($C51,IF('Proyecto Datos (OKR´s)'!$E51="","(Sin sprint)",'Proyecto Datos (OKR´s)'!$E51),"")</f>
      </c>
      <c r="N51" s="200">
        <f>IF($C51,IF('Proyecto Datos (OKR´s)'!$E51="",9999,'Proyecto Datos (OKR´s)'!$E51),"")</f>
      </c>
    </row>
    <row r="52">
      <c r="A52" s="200">
        <f>ROW()</f>
      </c>
      <c r="B52" s="200">
        <f>ISTEXT('Proyecto Datos (OKR´s)'!$K52)</f>
      </c>
      <c r="C52" s="200">
        <f>AND(LEN('Proyecto Datos (OKR´s)'!$G52)&gt;0,NOT($B52),OR(ISNUMBER('Proyecto Datos (OKR´s)'!$F52),ISNUMBER('Proyecto Datos (OKR´s)'!$L52)))</f>
      </c>
      <c r="D52" s="201">
        <f>IF($C52,IFERROR(LOOKUP(2,1/((ISTEXT('Proyecto Datos (OKR´s)'!$K$7:$K52))*(LEN('Proyecto Datos (OKR´s)'!$G$7:$G52)&gt;0)),'Proyecto Datos (OKR´s)'!$G$7:$G52),""),"")</f>
      </c>
      <c r="E52" s="200">
        <f>IF($C52,'Proyecto Datos (OKR´s)'!$E52,"")</f>
      </c>
      <c r="F52" s="201">
        <f>IF($C52,'Proyecto Datos (OKR´s)'!$G52,"")</f>
      </c>
      <c r="G52" s="201">
        <f>IF($C52,IF('Proyecto Datos (OKR´s)'!$I52="","(Sin asignar)",'Proyecto Datos (OKR´s)'!$I52),"")</f>
      </c>
      <c r="H52" s="200">
        <f>IF($C52,IF(ISNUMBER('Proyecto Datos (OKR´s)'!$F52),'Proyecto Datos (OKR´s)'!$F52,'Proyecto Datos (OKR´s)'!$L52),"")</f>
      </c>
      <c r="I52" s="200">
        <f>IF($C52,'Proyecto Datos (OKR´s)'!$J52,"")</f>
      </c>
      <c r="J52" s="201">
        <f>IF($C52,IF($I52&gt;=1,"Completado",IF($H52&lt;TODAY(),"Vencido",IF(($H52-TODAY())&lt;='Entregas Próximas'!$I$3,"Próximo a vencer","En curso"))),"")</f>
      </c>
      <c r="K52" s="200">
        <f>IF($C52,$H52-TODAY(),"")</f>
      </c>
      <c r="L52" s="200">
        <f>IF($C52,$N52*1000000+$H52+ROW()/100000,"")</f>
      </c>
      <c r="M52" s="200">
        <f>IF($C52,IF('Proyecto Datos (OKR´s)'!$E52="","(Sin sprint)",'Proyecto Datos (OKR´s)'!$E52),"")</f>
      </c>
      <c r="N52" s="200">
        <f>IF($C52,IF('Proyecto Datos (OKR´s)'!$E52="",9999,'Proyecto Datos (OKR´s)'!$E52),"")</f>
      </c>
    </row>
    <row r="53">
      <c r="A53" s="200">
        <f>ROW()</f>
      </c>
      <c r="B53" s="200">
        <f>ISTEXT('Proyecto Datos (OKR´s)'!$K53)</f>
      </c>
      <c r="C53" s="200">
        <f>AND(LEN('Proyecto Datos (OKR´s)'!$G53)&gt;0,NOT($B53),OR(ISNUMBER('Proyecto Datos (OKR´s)'!$F53),ISNUMBER('Proyecto Datos (OKR´s)'!$L53)))</f>
      </c>
      <c r="D53" s="201">
        <f>IF($C53,IFERROR(LOOKUP(2,1/((ISTEXT('Proyecto Datos (OKR´s)'!$K$7:$K53))*(LEN('Proyecto Datos (OKR´s)'!$G$7:$G53)&gt;0)),'Proyecto Datos (OKR´s)'!$G$7:$G53),""),"")</f>
      </c>
      <c r="E53" s="200">
        <f>IF($C53,'Proyecto Datos (OKR´s)'!$E53,"")</f>
      </c>
      <c r="F53" s="201">
        <f>IF($C53,'Proyecto Datos (OKR´s)'!$G53,"")</f>
      </c>
      <c r="G53" s="201">
        <f>IF($C53,IF('Proyecto Datos (OKR´s)'!$I53="","(Sin asignar)",'Proyecto Datos (OKR´s)'!$I53),"")</f>
      </c>
      <c r="H53" s="200">
        <f>IF($C53,IF(ISNUMBER('Proyecto Datos (OKR´s)'!$F53),'Proyecto Datos (OKR´s)'!$F53,'Proyecto Datos (OKR´s)'!$L53),"")</f>
      </c>
      <c r="I53" s="200">
        <f>IF($C53,'Proyecto Datos (OKR´s)'!$J53,"")</f>
      </c>
      <c r="J53" s="201">
        <f>IF($C53,IF($I53&gt;=1,"Completado",IF($H53&lt;TODAY(),"Vencido",IF(($H53-TODAY())&lt;='Entregas Próximas'!$I$3,"Próximo a vencer","En curso"))),"")</f>
      </c>
      <c r="K53" s="200">
        <f>IF($C53,$H53-TODAY(),"")</f>
      </c>
      <c r="L53" s="200">
        <f>IF($C53,$N53*1000000+$H53+ROW()/100000,"")</f>
      </c>
      <c r="M53" s="200">
        <f>IF($C53,IF('Proyecto Datos (OKR´s)'!$E53="","(Sin sprint)",'Proyecto Datos (OKR´s)'!$E53),"")</f>
      </c>
      <c r="N53" s="200">
        <f>IF($C53,IF('Proyecto Datos (OKR´s)'!$E53="",9999,'Proyecto Datos (OKR´s)'!$E53),"")</f>
      </c>
    </row>
    <row r="54">
      <c r="A54" s="200">
        <f>ROW()</f>
      </c>
      <c r="B54" s="200">
        <f>ISTEXT('Proyecto Datos (OKR´s)'!$K54)</f>
      </c>
      <c r="C54" s="200">
        <f>AND(LEN('Proyecto Datos (OKR´s)'!$G54)&gt;0,NOT($B54),OR(ISNUMBER('Proyecto Datos (OKR´s)'!$F54),ISNUMBER('Proyecto Datos (OKR´s)'!$L54)))</f>
      </c>
      <c r="D54" s="201">
        <f>IF($C54,IFERROR(LOOKUP(2,1/((ISTEXT('Proyecto Datos (OKR´s)'!$K$7:$K54))*(LEN('Proyecto Datos (OKR´s)'!$G$7:$G54)&gt;0)),'Proyecto Datos (OKR´s)'!$G$7:$G54),""),"")</f>
      </c>
      <c r="E54" s="200">
        <f>IF($C54,'Proyecto Datos (OKR´s)'!$E54,"")</f>
      </c>
      <c r="F54" s="201">
        <f>IF($C54,'Proyecto Datos (OKR´s)'!$G54,"")</f>
      </c>
      <c r="G54" s="201">
        <f>IF($C54,IF('Proyecto Datos (OKR´s)'!$I54="","(Sin asignar)",'Proyecto Datos (OKR´s)'!$I54),"")</f>
      </c>
      <c r="H54" s="200">
        <f>IF($C54,IF(ISNUMBER('Proyecto Datos (OKR´s)'!$F54),'Proyecto Datos (OKR´s)'!$F54,'Proyecto Datos (OKR´s)'!$L54),"")</f>
      </c>
      <c r="I54" s="200">
        <f>IF($C54,'Proyecto Datos (OKR´s)'!$J54,"")</f>
      </c>
      <c r="J54" s="201">
        <f>IF($C54,IF($I54&gt;=1,"Completado",IF($H54&lt;TODAY(),"Vencido",IF(($H54-TODAY())&lt;='Entregas Próximas'!$I$3,"Próximo a vencer","En curso"))),"")</f>
      </c>
      <c r="K54" s="200">
        <f>IF($C54,$H54-TODAY(),"")</f>
      </c>
      <c r="L54" s="200">
        <f>IF($C54,$N54*1000000+$H54+ROW()/100000,"")</f>
      </c>
      <c r="M54" s="200">
        <f>IF($C54,IF('Proyecto Datos (OKR´s)'!$E54="","(Sin sprint)",'Proyecto Datos (OKR´s)'!$E54),"")</f>
      </c>
      <c r="N54" s="200">
        <f>IF($C54,IF('Proyecto Datos (OKR´s)'!$E54="",9999,'Proyecto Datos (OKR´s)'!$E54),"")</f>
      </c>
    </row>
    <row r="55">
      <c r="A55" s="200">
        <f>ROW()</f>
      </c>
      <c r="B55" s="200">
        <f>ISTEXT('Proyecto Datos (OKR´s)'!$K55)</f>
      </c>
      <c r="C55" s="200">
        <f>AND(LEN('Proyecto Datos (OKR´s)'!$G55)&gt;0,NOT($B55),OR(ISNUMBER('Proyecto Datos (OKR´s)'!$F55),ISNUMBER('Proyecto Datos (OKR´s)'!$L55)))</f>
      </c>
      <c r="D55" s="201">
        <f>IF($C55,IFERROR(LOOKUP(2,1/((ISTEXT('Proyecto Datos (OKR´s)'!$K$7:$K55))*(LEN('Proyecto Datos (OKR´s)'!$G$7:$G55)&gt;0)),'Proyecto Datos (OKR´s)'!$G$7:$G55),""),"")</f>
      </c>
      <c r="E55" s="200">
        <f>IF($C55,'Proyecto Datos (OKR´s)'!$E55,"")</f>
      </c>
      <c r="F55" s="201">
        <f>IF($C55,'Proyecto Datos (OKR´s)'!$G55,"")</f>
      </c>
      <c r="G55" s="201">
        <f>IF($C55,IF('Proyecto Datos (OKR´s)'!$I55="","(Sin asignar)",'Proyecto Datos (OKR´s)'!$I55),"")</f>
      </c>
      <c r="H55" s="200">
        <f>IF($C55,IF(ISNUMBER('Proyecto Datos (OKR´s)'!$F55),'Proyecto Datos (OKR´s)'!$F55,'Proyecto Datos (OKR´s)'!$L55),"")</f>
      </c>
      <c r="I55" s="200">
        <f>IF($C55,'Proyecto Datos (OKR´s)'!$J55,"")</f>
      </c>
      <c r="J55" s="201">
        <f>IF($C55,IF($I55&gt;=1,"Completado",IF($H55&lt;TODAY(),"Vencido",IF(($H55-TODAY())&lt;='Entregas Próximas'!$I$3,"Próximo a vencer","En curso"))),"")</f>
      </c>
      <c r="K55" s="200">
        <f>IF($C55,$H55-TODAY(),"")</f>
      </c>
      <c r="L55" s="200">
        <f>IF($C55,$N55*1000000+$H55+ROW()/100000,"")</f>
      </c>
      <c r="M55" s="200">
        <f>IF($C55,IF('Proyecto Datos (OKR´s)'!$E55="","(Sin sprint)",'Proyecto Datos (OKR´s)'!$E55),"")</f>
      </c>
      <c r="N55" s="200">
        <f>IF($C55,IF('Proyecto Datos (OKR´s)'!$E55="",9999,'Proyecto Datos (OKR´s)'!$E55),"")</f>
      </c>
    </row>
    <row r="56">
      <c r="A56" s="200">
        <f>ROW()</f>
      </c>
      <c r="B56" s="200">
        <f>ISTEXT('Proyecto Datos (OKR´s)'!$K56)</f>
      </c>
      <c r="C56" s="200">
        <f>AND(LEN('Proyecto Datos (OKR´s)'!$G56)&gt;0,NOT($B56),OR(ISNUMBER('Proyecto Datos (OKR´s)'!$F56),ISNUMBER('Proyecto Datos (OKR´s)'!$L56)))</f>
      </c>
      <c r="D56" s="201">
        <f>IF($C56,IFERROR(LOOKUP(2,1/((ISTEXT('Proyecto Datos (OKR´s)'!$K$7:$K56))*(LEN('Proyecto Datos (OKR´s)'!$G$7:$G56)&gt;0)),'Proyecto Datos (OKR´s)'!$G$7:$G56),""),"")</f>
      </c>
      <c r="E56" s="200">
        <f>IF($C56,'Proyecto Datos (OKR´s)'!$E56,"")</f>
      </c>
      <c r="F56" s="201">
        <f>IF($C56,'Proyecto Datos (OKR´s)'!$G56,"")</f>
      </c>
      <c r="G56" s="201">
        <f>IF($C56,IF('Proyecto Datos (OKR´s)'!$I56="","(Sin asignar)",'Proyecto Datos (OKR´s)'!$I56),"")</f>
      </c>
      <c r="H56" s="200">
        <f>IF($C56,IF(ISNUMBER('Proyecto Datos (OKR´s)'!$F56),'Proyecto Datos (OKR´s)'!$F56,'Proyecto Datos (OKR´s)'!$L56),"")</f>
      </c>
      <c r="I56" s="200">
        <f>IF($C56,'Proyecto Datos (OKR´s)'!$J56,"")</f>
      </c>
      <c r="J56" s="201">
        <f>IF($C56,IF($I56&gt;=1,"Completado",IF($H56&lt;TODAY(),"Vencido",IF(($H56-TODAY())&lt;='Entregas Próximas'!$I$3,"Próximo a vencer","En curso"))),"")</f>
      </c>
      <c r="K56" s="200">
        <f>IF($C56,$H56-TODAY(),"")</f>
      </c>
      <c r="L56" s="200">
        <f>IF($C56,$N56*1000000+$H56+ROW()/100000,"")</f>
      </c>
      <c r="M56" s="200">
        <f>IF($C56,IF('Proyecto Datos (OKR´s)'!$E56="","(Sin sprint)",'Proyecto Datos (OKR´s)'!$E56),"")</f>
      </c>
      <c r="N56" s="200">
        <f>IF($C56,IF('Proyecto Datos (OKR´s)'!$E56="",9999,'Proyecto Datos (OKR´s)'!$E56),"")</f>
      </c>
    </row>
    <row r="57">
      <c r="A57" s="200">
        <f>ROW()</f>
      </c>
      <c r="B57" s="200">
        <f>ISTEXT('Proyecto Datos (OKR´s)'!$K57)</f>
      </c>
      <c r="C57" s="200">
        <f>AND(LEN('Proyecto Datos (OKR´s)'!$G57)&gt;0,NOT($B57),OR(ISNUMBER('Proyecto Datos (OKR´s)'!$F57),ISNUMBER('Proyecto Datos (OKR´s)'!$L57)))</f>
      </c>
      <c r="D57" s="201">
        <f>IF($C57,IFERROR(LOOKUP(2,1/((ISTEXT('Proyecto Datos (OKR´s)'!$K$7:$K57))*(LEN('Proyecto Datos (OKR´s)'!$G$7:$G57)&gt;0)),'Proyecto Datos (OKR´s)'!$G$7:$G57),""),"")</f>
      </c>
      <c r="E57" s="200">
        <f>IF($C57,'Proyecto Datos (OKR´s)'!$E57,"")</f>
      </c>
      <c r="F57" s="201">
        <f>IF($C57,'Proyecto Datos (OKR´s)'!$G57,"")</f>
      </c>
      <c r="G57" s="201">
        <f>IF($C57,IF('Proyecto Datos (OKR´s)'!$I57="","(Sin asignar)",'Proyecto Datos (OKR´s)'!$I57),"")</f>
      </c>
      <c r="H57" s="200">
        <f>IF($C57,IF(ISNUMBER('Proyecto Datos (OKR´s)'!$F57),'Proyecto Datos (OKR´s)'!$F57,'Proyecto Datos (OKR´s)'!$L57),"")</f>
      </c>
      <c r="I57" s="200">
        <f>IF($C57,'Proyecto Datos (OKR´s)'!$J57,"")</f>
      </c>
      <c r="J57" s="201">
        <f>IF($C57,IF($I57&gt;=1,"Completado",IF($H57&lt;TODAY(),"Vencido",IF(($H57-TODAY())&lt;='Entregas Próximas'!$I$3,"Próximo a vencer","En curso"))),"")</f>
      </c>
      <c r="K57" s="200">
        <f>IF($C57,$H57-TODAY(),"")</f>
      </c>
      <c r="L57" s="200">
        <f>IF($C57,$N57*1000000+$H57+ROW()/100000,"")</f>
      </c>
      <c r="M57" s="200">
        <f>IF($C57,IF('Proyecto Datos (OKR´s)'!$E57="","(Sin sprint)",'Proyecto Datos (OKR´s)'!$E57),"")</f>
      </c>
      <c r="N57" s="200">
        <f>IF($C57,IF('Proyecto Datos (OKR´s)'!$E57="",9999,'Proyecto Datos (OKR´s)'!$E57),"")</f>
      </c>
    </row>
    <row r="58">
      <c r="A58" s="200">
        <f>ROW()</f>
      </c>
      <c r="B58" s="200">
        <f>ISTEXT('Proyecto Datos (OKR´s)'!$K58)</f>
      </c>
      <c r="C58" s="200">
        <f>AND(LEN('Proyecto Datos (OKR´s)'!$G58)&gt;0,NOT($B58),OR(ISNUMBER('Proyecto Datos (OKR´s)'!$F58),ISNUMBER('Proyecto Datos (OKR´s)'!$L58)))</f>
      </c>
      <c r="D58" s="201">
        <f>IF($C58,IFERROR(LOOKUP(2,1/((ISTEXT('Proyecto Datos (OKR´s)'!$K$7:$K58))*(LEN('Proyecto Datos (OKR´s)'!$G$7:$G58)&gt;0)),'Proyecto Datos (OKR´s)'!$G$7:$G58),""),"")</f>
      </c>
      <c r="E58" s="200">
        <f>IF($C58,'Proyecto Datos (OKR´s)'!$E58,"")</f>
      </c>
      <c r="F58" s="201">
        <f>IF($C58,'Proyecto Datos (OKR´s)'!$G58,"")</f>
      </c>
      <c r="G58" s="201">
        <f>IF($C58,IF('Proyecto Datos (OKR´s)'!$I58="","(Sin asignar)",'Proyecto Datos (OKR´s)'!$I58),"")</f>
      </c>
      <c r="H58" s="200">
        <f>IF($C58,IF(ISNUMBER('Proyecto Datos (OKR´s)'!$F58),'Proyecto Datos (OKR´s)'!$F58,'Proyecto Datos (OKR´s)'!$L58),"")</f>
      </c>
      <c r="I58" s="200">
        <f>IF($C58,'Proyecto Datos (OKR´s)'!$J58,"")</f>
      </c>
      <c r="J58" s="201">
        <f>IF($C58,IF($I58&gt;=1,"Completado",IF($H58&lt;TODAY(),"Vencido",IF(($H58-TODAY())&lt;='Entregas Próximas'!$I$3,"Próximo a vencer","En curso"))),"")</f>
      </c>
      <c r="K58" s="200">
        <f>IF($C58,$H58-TODAY(),"")</f>
      </c>
      <c r="L58" s="200">
        <f>IF($C58,$N58*1000000+$H58+ROW()/100000,"")</f>
      </c>
      <c r="M58" s="200">
        <f>IF($C58,IF('Proyecto Datos (OKR´s)'!$E58="","(Sin sprint)",'Proyecto Datos (OKR´s)'!$E58),"")</f>
      </c>
      <c r="N58" s="200">
        <f>IF($C58,IF('Proyecto Datos (OKR´s)'!$E58="",9999,'Proyecto Datos (OKR´s)'!$E58),"")</f>
      </c>
    </row>
    <row r="59">
      <c r="A59" s="200">
        <f>ROW()</f>
      </c>
      <c r="B59" s="200">
        <f>ISTEXT('Proyecto Datos (OKR´s)'!$K59)</f>
      </c>
      <c r="C59" s="200">
        <f>AND(LEN('Proyecto Datos (OKR´s)'!$G59)&gt;0,NOT($B59),OR(ISNUMBER('Proyecto Datos (OKR´s)'!$F59),ISNUMBER('Proyecto Datos (OKR´s)'!$L59)))</f>
      </c>
      <c r="D59" s="201">
        <f>IF($C59,IFERROR(LOOKUP(2,1/((ISTEXT('Proyecto Datos (OKR´s)'!$K$7:$K59))*(LEN('Proyecto Datos (OKR´s)'!$G$7:$G59)&gt;0)),'Proyecto Datos (OKR´s)'!$G$7:$G59),""),"")</f>
      </c>
      <c r="E59" s="200">
        <f>IF($C59,'Proyecto Datos (OKR´s)'!$E59,"")</f>
      </c>
      <c r="F59" s="201">
        <f>IF($C59,'Proyecto Datos (OKR´s)'!$G59,"")</f>
      </c>
      <c r="G59" s="201">
        <f>IF($C59,IF('Proyecto Datos (OKR´s)'!$I59="","(Sin asignar)",'Proyecto Datos (OKR´s)'!$I59),"")</f>
      </c>
      <c r="H59" s="200">
        <f>IF($C59,IF(ISNUMBER('Proyecto Datos (OKR´s)'!$F59),'Proyecto Datos (OKR´s)'!$F59,'Proyecto Datos (OKR´s)'!$L59),"")</f>
      </c>
      <c r="I59" s="200">
        <f>IF($C59,'Proyecto Datos (OKR´s)'!$J59,"")</f>
      </c>
      <c r="J59" s="201">
        <f>IF($C59,IF($I59&gt;=1,"Completado",IF($H59&lt;TODAY(),"Vencido",IF(($H59-TODAY())&lt;='Entregas Próximas'!$I$3,"Próximo a vencer","En curso"))),"")</f>
      </c>
      <c r="K59" s="200">
        <f>IF($C59,$H59-TODAY(),"")</f>
      </c>
      <c r="L59" s="200">
        <f>IF($C59,$N59*1000000+$H59+ROW()/100000,"")</f>
      </c>
      <c r="M59" s="200">
        <f>IF($C59,IF('Proyecto Datos (OKR´s)'!$E59="","(Sin sprint)",'Proyecto Datos (OKR´s)'!$E59),"")</f>
      </c>
      <c r="N59" s="200">
        <f>IF($C59,IF('Proyecto Datos (OKR´s)'!$E59="",9999,'Proyecto Datos (OKR´s)'!$E59),"")</f>
      </c>
    </row>
    <row r="60">
      <c r="A60" s="200">
        <f>ROW()</f>
      </c>
      <c r="B60" s="200">
        <f>ISTEXT('Proyecto Datos (OKR´s)'!$K60)</f>
      </c>
      <c r="C60" s="200">
        <f>AND(LEN('Proyecto Datos (OKR´s)'!$G60)&gt;0,NOT($B60),OR(ISNUMBER('Proyecto Datos (OKR´s)'!$F60),ISNUMBER('Proyecto Datos (OKR´s)'!$L60)))</f>
      </c>
      <c r="D60" s="201">
        <f>IF($C60,IFERROR(LOOKUP(2,1/((ISTEXT('Proyecto Datos (OKR´s)'!$K$7:$K60))*(LEN('Proyecto Datos (OKR´s)'!$G$7:$G60)&gt;0)),'Proyecto Datos (OKR´s)'!$G$7:$G60),""),"")</f>
      </c>
      <c r="E60" s="200">
        <f>IF($C60,'Proyecto Datos (OKR´s)'!$E60,"")</f>
      </c>
      <c r="F60" s="201">
        <f>IF($C60,'Proyecto Datos (OKR´s)'!$G60,"")</f>
      </c>
      <c r="G60" s="201">
        <f>IF($C60,IF('Proyecto Datos (OKR´s)'!$I60="","(Sin asignar)",'Proyecto Datos (OKR´s)'!$I60),"")</f>
      </c>
      <c r="H60" s="200">
        <f>IF($C60,IF(ISNUMBER('Proyecto Datos (OKR´s)'!$F60),'Proyecto Datos (OKR´s)'!$F60,'Proyecto Datos (OKR´s)'!$L60),"")</f>
      </c>
      <c r="I60" s="200">
        <f>IF($C60,'Proyecto Datos (OKR´s)'!$J60,"")</f>
      </c>
      <c r="J60" s="201">
        <f>IF($C60,IF($I60&gt;=1,"Completado",IF($H60&lt;TODAY(),"Vencido",IF(($H60-TODAY())&lt;='Entregas Próximas'!$I$3,"Próximo a vencer","En curso"))),"")</f>
      </c>
      <c r="K60" s="200">
        <f>IF($C60,$H60-TODAY(),"")</f>
      </c>
      <c r="L60" s="200">
        <f>IF($C60,$N60*1000000+$H60+ROW()/100000,"")</f>
      </c>
      <c r="M60" s="200">
        <f>IF($C60,IF('Proyecto Datos (OKR´s)'!$E60="","(Sin sprint)",'Proyecto Datos (OKR´s)'!$E60),"")</f>
      </c>
      <c r="N60" s="200">
        <f>IF($C60,IF('Proyecto Datos (OKR´s)'!$E60="",9999,'Proyecto Datos (OKR´s)'!$E60),"")</f>
      </c>
    </row>
    <row r="61">
      <c r="A61" s="200">
        <f>ROW()</f>
      </c>
      <c r="B61" s="200">
        <f>ISTEXT('Proyecto Datos (OKR´s)'!$K61)</f>
      </c>
      <c r="C61" s="200">
        <f>AND(LEN('Proyecto Datos (OKR´s)'!$G61)&gt;0,NOT($B61),OR(ISNUMBER('Proyecto Datos (OKR´s)'!$F61),ISNUMBER('Proyecto Datos (OKR´s)'!$L61)))</f>
      </c>
      <c r="D61" s="201">
        <f>IF($C61,IFERROR(LOOKUP(2,1/((ISTEXT('Proyecto Datos (OKR´s)'!$K$7:$K61))*(LEN('Proyecto Datos (OKR´s)'!$G$7:$G61)&gt;0)),'Proyecto Datos (OKR´s)'!$G$7:$G61),""),"")</f>
      </c>
      <c r="E61" s="200">
        <f>IF($C61,'Proyecto Datos (OKR´s)'!$E61,"")</f>
      </c>
      <c r="F61" s="201">
        <f>IF($C61,'Proyecto Datos (OKR´s)'!$G61,"")</f>
      </c>
      <c r="G61" s="201">
        <f>IF($C61,IF('Proyecto Datos (OKR´s)'!$I61="","(Sin asignar)",'Proyecto Datos (OKR´s)'!$I61),"")</f>
      </c>
      <c r="H61" s="200">
        <f>IF($C61,IF(ISNUMBER('Proyecto Datos (OKR´s)'!$F61),'Proyecto Datos (OKR´s)'!$F61,'Proyecto Datos (OKR´s)'!$L61),"")</f>
      </c>
      <c r="I61" s="200">
        <f>IF($C61,'Proyecto Datos (OKR´s)'!$J61,"")</f>
      </c>
      <c r="J61" s="201">
        <f>IF($C61,IF($I61&gt;=1,"Completado",IF($H61&lt;TODAY(),"Vencido",IF(($H61-TODAY())&lt;='Entregas Próximas'!$I$3,"Próximo a vencer","En curso"))),"")</f>
      </c>
      <c r="K61" s="200">
        <f>IF($C61,$H61-TODAY(),"")</f>
      </c>
      <c r="L61" s="200">
        <f>IF($C61,$N61*1000000+$H61+ROW()/100000,"")</f>
      </c>
      <c r="M61" s="200">
        <f>IF($C61,IF('Proyecto Datos (OKR´s)'!$E61="","(Sin sprint)",'Proyecto Datos (OKR´s)'!$E61),"")</f>
      </c>
      <c r="N61" s="200">
        <f>IF($C61,IF('Proyecto Datos (OKR´s)'!$E61="",9999,'Proyecto Datos (OKR´s)'!$E61),"")</f>
      </c>
    </row>
    <row r="62">
      <c r="A62" s="200">
        <f>ROW()</f>
      </c>
      <c r="B62" s="200">
        <f>ISTEXT('Proyecto Datos (OKR´s)'!$K62)</f>
      </c>
      <c r="C62" s="200">
        <f>AND(LEN('Proyecto Datos (OKR´s)'!$G62)&gt;0,NOT($B62),OR(ISNUMBER('Proyecto Datos (OKR´s)'!$F62),ISNUMBER('Proyecto Datos (OKR´s)'!$L62)))</f>
      </c>
      <c r="D62" s="201">
        <f>IF($C62,IFERROR(LOOKUP(2,1/((ISTEXT('Proyecto Datos (OKR´s)'!$K$7:$K62))*(LEN('Proyecto Datos (OKR´s)'!$G$7:$G62)&gt;0)),'Proyecto Datos (OKR´s)'!$G$7:$G62),""),"")</f>
      </c>
      <c r="E62" s="200">
        <f>IF($C62,'Proyecto Datos (OKR´s)'!$E62,"")</f>
      </c>
      <c r="F62" s="201">
        <f>IF($C62,'Proyecto Datos (OKR´s)'!$G62,"")</f>
      </c>
      <c r="G62" s="201">
        <f>IF($C62,IF('Proyecto Datos (OKR´s)'!$I62="","(Sin asignar)",'Proyecto Datos (OKR´s)'!$I62),"")</f>
      </c>
      <c r="H62" s="200">
        <f>IF($C62,IF(ISNUMBER('Proyecto Datos (OKR´s)'!$F62),'Proyecto Datos (OKR´s)'!$F62,'Proyecto Datos (OKR´s)'!$L62),"")</f>
      </c>
      <c r="I62" s="200">
        <f>IF($C62,'Proyecto Datos (OKR´s)'!$J62,"")</f>
      </c>
      <c r="J62" s="201">
        <f>IF($C62,IF($I62&gt;=1,"Completado",IF($H62&lt;TODAY(),"Vencido",IF(($H62-TODAY())&lt;='Entregas Próximas'!$I$3,"Próximo a vencer","En curso"))),"")</f>
      </c>
      <c r="K62" s="200">
        <f>IF($C62,$H62-TODAY(),"")</f>
      </c>
      <c r="L62" s="200">
        <f>IF($C62,$N62*1000000+$H62+ROW()/100000,"")</f>
      </c>
      <c r="M62" s="200">
        <f>IF($C62,IF('Proyecto Datos (OKR´s)'!$E62="","(Sin sprint)",'Proyecto Datos (OKR´s)'!$E62),"")</f>
      </c>
      <c r="N62" s="200">
        <f>IF($C62,IF('Proyecto Datos (OKR´s)'!$E62="",9999,'Proyecto Datos (OKR´s)'!$E62),"")</f>
      </c>
    </row>
    <row r="63">
      <c r="A63" s="200">
        <f>ROW()</f>
      </c>
      <c r="B63" s="200">
        <f>ISTEXT('Proyecto Datos (OKR´s)'!$K63)</f>
      </c>
      <c r="C63" s="200">
        <f>AND(LEN('Proyecto Datos (OKR´s)'!$G63)&gt;0,NOT($B63),OR(ISNUMBER('Proyecto Datos (OKR´s)'!$F63),ISNUMBER('Proyecto Datos (OKR´s)'!$L63)))</f>
      </c>
      <c r="D63" s="201">
        <f>IF($C63,IFERROR(LOOKUP(2,1/((ISTEXT('Proyecto Datos (OKR´s)'!$K$7:$K63))*(LEN('Proyecto Datos (OKR´s)'!$G$7:$G63)&gt;0)),'Proyecto Datos (OKR´s)'!$G$7:$G63),""),"")</f>
      </c>
      <c r="E63" s="200">
        <f>IF($C63,'Proyecto Datos (OKR´s)'!$E63,"")</f>
      </c>
      <c r="F63" s="201">
        <f>IF($C63,'Proyecto Datos (OKR´s)'!$G63,"")</f>
      </c>
      <c r="G63" s="201">
        <f>IF($C63,IF('Proyecto Datos (OKR´s)'!$I63="","(Sin asignar)",'Proyecto Datos (OKR´s)'!$I63),"")</f>
      </c>
      <c r="H63" s="200">
        <f>IF($C63,IF(ISNUMBER('Proyecto Datos (OKR´s)'!$F63),'Proyecto Datos (OKR´s)'!$F63,'Proyecto Datos (OKR´s)'!$L63),"")</f>
      </c>
      <c r="I63" s="200">
        <f>IF($C63,'Proyecto Datos (OKR´s)'!$J63,"")</f>
      </c>
      <c r="J63" s="201">
        <f>IF($C63,IF($I63&gt;=1,"Completado",IF($H63&lt;TODAY(),"Vencido",IF(($H63-TODAY())&lt;='Entregas Próximas'!$I$3,"Próximo a vencer","En curso"))),"")</f>
      </c>
      <c r="K63" s="200">
        <f>IF($C63,$H63-TODAY(),"")</f>
      </c>
      <c r="L63" s="200">
        <f>IF($C63,$N63*1000000+$H63+ROW()/100000,"")</f>
      </c>
      <c r="M63" s="200">
        <f>IF($C63,IF('Proyecto Datos (OKR´s)'!$E63="","(Sin sprint)",'Proyecto Datos (OKR´s)'!$E63),"")</f>
      </c>
      <c r="N63" s="200">
        <f>IF($C63,IF('Proyecto Datos (OKR´s)'!$E63="",9999,'Proyecto Datos (OKR´s)'!$E63),"")</f>
      </c>
    </row>
    <row r="64">
      <c r="A64" s="200">
        <f>ROW()</f>
      </c>
      <c r="B64" s="200">
        <f>ISTEXT('Proyecto Datos (OKR´s)'!$K64)</f>
      </c>
      <c r="C64" s="200">
        <f>AND(LEN('Proyecto Datos (OKR´s)'!$G64)&gt;0,NOT($B64),OR(ISNUMBER('Proyecto Datos (OKR´s)'!$F64),ISNUMBER('Proyecto Datos (OKR´s)'!$L64)))</f>
      </c>
      <c r="D64" s="201">
        <f>IF($C64,IFERROR(LOOKUP(2,1/((ISTEXT('Proyecto Datos (OKR´s)'!$K$7:$K64))*(LEN('Proyecto Datos (OKR´s)'!$G$7:$G64)&gt;0)),'Proyecto Datos (OKR´s)'!$G$7:$G64),""),"")</f>
      </c>
      <c r="E64" s="200">
        <f>IF($C64,'Proyecto Datos (OKR´s)'!$E64,"")</f>
      </c>
      <c r="F64" s="201">
        <f>IF($C64,'Proyecto Datos (OKR´s)'!$G64,"")</f>
      </c>
      <c r="G64" s="201">
        <f>IF($C64,IF('Proyecto Datos (OKR´s)'!$I64="","(Sin asignar)",'Proyecto Datos (OKR´s)'!$I64),"")</f>
      </c>
      <c r="H64" s="200">
        <f>IF($C64,IF(ISNUMBER('Proyecto Datos (OKR´s)'!$F64),'Proyecto Datos (OKR´s)'!$F64,'Proyecto Datos (OKR´s)'!$L64),"")</f>
      </c>
      <c r="I64" s="200">
        <f>IF($C64,'Proyecto Datos (OKR´s)'!$J64,"")</f>
      </c>
      <c r="J64" s="201">
        <f>IF($C64,IF($I64&gt;=1,"Completado",IF($H64&lt;TODAY(),"Vencido",IF(($H64-TODAY())&lt;='Entregas Próximas'!$I$3,"Próximo a vencer","En curso"))),"")</f>
      </c>
      <c r="K64" s="200">
        <f>IF($C64,$H64-TODAY(),"")</f>
      </c>
      <c r="L64" s="200">
        <f>IF($C64,$N64*1000000+$H64+ROW()/100000,"")</f>
      </c>
      <c r="M64" s="200">
        <f>IF($C64,IF('Proyecto Datos (OKR´s)'!$E64="","(Sin sprint)",'Proyecto Datos (OKR´s)'!$E64),"")</f>
      </c>
      <c r="N64" s="200">
        <f>IF($C64,IF('Proyecto Datos (OKR´s)'!$E64="",9999,'Proyecto Datos (OKR´s)'!$E64),"")</f>
      </c>
    </row>
    <row r="65">
      <c r="A65" s="200">
        <f>ROW()</f>
      </c>
      <c r="B65" s="200">
        <f>ISTEXT('Proyecto Datos (OKR´s)'!$K65)</f>
      </c>
      <c r="C65" s="200">
        <f>AND(LEN('Proyecto Datos (OKR´s)'!$G65)&gt;0,NOT($B65),OR(ISNUMBER('Proyecto Datos (OKR´s)'!$F65),ISNUMBER('Proyecto Datos (OKR´s)'!$L65)))</f>
      </c>
      <c r="D65" s="201">
        <f>IF($C65,IFERROR(LOOKUP(2,1/((ISTEXT('Proyecto Datos (OKR´s)'!$K$7:$K65))*(LEN('Proyecto Datos (OKR´s)'!$G$7:$G65)&gt;0)),'Proyecto Datos (OKR´s)'!$G$7:$G65),""),"")</f>
      </c>
      <c r="E65" s="200">
        <f>IF($C65,'Proyecto Datos (OKR´s)'!$E65,"")</f>
      </c>
      <c r="F65" s="201">
        <f>IF($C65,'Proyecto Datos (OKR´s)'!$G65,"")</f>
      </c>
      <c r="G65" s="201">
        <f>IF($C65,IF('Proyecto Datos (OKR´s)'!$I65="","(Sin asignar)",'Proyecto Datos (OKR´s)'!$I65),"")</f>
      </c>
      <c r="H65" s="200">
        <f>IF($C65,IF(ISNUMBER('Proyecto Datos (OKR´s)'!$F65),'Proyecto Datos (OKR´s)'!$F65,'Proyecto Datos (OKR´s)'!$L65),"")</f>
      </c>
      <c r="I65" s="200">
        <f>IF($C65,'Proyecto Datos (OKR´s)'!$J65,"")</f>
      </c>
      <c r="J65" s="201">
        <f>IF($C65,IF($I65&gt;=1,"Completado",IF($H65&lt;TODAY(),"Vencido",IF(($H65-TODAY())&lt;='Entregas Próximas'!$I$3,"Próximo a vencer","En curso"))),"")</f>
      </c>
      <c r="K65" s="200">
        <f>IF($C65,$H65-TODAY(),"")</f>
      </c>
      <c r="L65" s="200">
        <f>IF($C65,$N65*1000000+$H65+ROW()/100000,"")</f>
      </c>
      <c r="M65" s="200">
        <f>IF($C65,IF('Proyecto Datos (OKR´s)'!$E65="","(Sin sprint)",'Proyecto Datos (OKR´s)'!$E65),"")</f>
      </c>
      <c r="N65" s="200">
        <f>IF($C65,IF('Proyecto Datos (OKR´s)'!$E65="",9999,'Proyecto Datos (OKR´s)'!$E65),"")</f>
      </c>
    </row>
    <row r="66">
      <c r="A66" s="200">
        <f>ROW()</f>
      </c>
      <c r="B66" s="200">
        <f>ISTEXT('Proyecto Datos (OKR´s)'!$K66)</f>
      </c>
      <c r="C66" s="200">
        <f>AND(LEN('Proyecto Datos (OKR´s)'!$G66)&gt;0,NOT($B66),OR(ISNUMBER('Proyecto Datos (OKR´s)'!$F66),ISNUMBER('Proyecto Datos (OKR´s)'!$L66)))</f>
      </c>
      <c r="D66" s="201">
        <f>IF($C66,IFERROR(LOOKUP(2,1/((ISTEXT('Proyecto Datos (OKR´s)'!$K$7:$K66))*(LEN('Proyecto Datos (OKR´s)'!$G$7:$G66)&gt;0)),'Proyecto Datos (OKR´s)'!$G$7:$G66),""),"")</f>
      </c>
      <c r="E66" s="200">
        <f>IF($C66,'Proyecto Datos (OKR´s)'!$E66,"")</f>
      </c>
      <c r="F66" s="201">
        <f>IF($C66,'Proyecto Datos (OKR´s)'!$G66,"")</f>
      </c>
      <c r="G66" s="201">
        <f>IF($C66,IF('Proyecto Datos (OKR´s)'!$I66="","(Sin asignar)",'Proyecto Datos (OKR´s)'!$I66),"")</f>
      </c>
      <c r="H66" s="200">
        <f>IF($C66,IF(ISNUMBER('Proyecto Datos (OKR´s)'!$F66),'Proyecto Datos (OKR´s)'!$F66,'Proyecto Datos (OKR´s)'!$L66),"")</f>
      </c>
      <c r="I66" s="200">
        <f>IF($C66,'Proyecto Datos (OKR´s)'!$J66,"")</f>
      </c>
      <c r="J66" s="201">
        <f>IF($C66,IF($I66&gt;=1,"Completado",IF($H66&lt;TODAY(),"Vencido",IF(($H66-TODAY())&lt;='Entregas Próximas'!$I$3,"Próximo a vencer","En curso"))),"")</f>
      </c>
      <c r="K66" s="200">
        <f>IF($C66,$H66-TODAY(),"")</f>
      </c>
      <c r="L66" s="200">
        <f>IF($C66,$N66*1000000+$H66+ROW()/100000,"")</f>
      </c>
      <c r="M66" s="200">
        <f>IF($C66,IF('Proyecto Datos (OKR´s)'!$E66="","(Sin sprint)",'Proyecto Datos (OKR´s)'!$E66),"")</f>
      </c>
      <c r="N66" s="200">
        <f>IF($C66,IF('Proyecto Datos (OKR´s)'!$E66="",9999,'Proyecto Datos (OKR´s)'!$E66),"")</f>
      </c>
    </row>
    <row r="67">
      <c r="A67" s="200">
        <f>ROW()</f>
      </c>
      <c r="B67" s="200">
        <f>ISTEXT('Proyecto Datos (OKR´s)'!$K67)</f>
      </c>
      <c r="C67" s="200">
        <f>AND(LEN('Proyecto Datos (OKR´s)'!$G67)&gt;0,NOT($B67),OR(ISNUMBER('Proyecto Datos (OKR´s)'!$F67),ISNUMBER('Proyecto Datos (OKR´s)'!$L67)))</f>
      </c>
      <c r="D67" s="201">
        <f>IF($C67,IFERROR(LOOKUP(2,1/((ISTEXT('Proyecto Datos (OKR´s)'!$K$7:$K67))*(LEN('Proyecto Datos (OKR´s)'!$G$7:$G67)&gt;0)),'Proyecto Datos (OKR´s)'!$G$7:$G67),""),"")</f>
      </c>
      <c r="E67" s="200">
        <f>IF($C67,'Proyecto Datos (OKR´s)'!$E67,"")</f>
      </c>
      <c r="F67" s="201">
        <f>IF($C67,'Proyecto Datos (OKR´s)'!$G67,"")</f>
      </c>
      <c r="G67" s="201">
        <f>IF($C67,IF('Proyecto Datos (OKR´s)'!$I67="","(Sin asignar)",'Proyecto Datos (OKR´s)'!$I67),"")</f>
      </c>
      <c r="H67" s="200">
        <f>IF($C67,IF(ISNUMBER('Proyecto Datos (OKR´s)'!$F67),'Proyecto Datos (OKR´s)'!$F67,'Proyecto Datos (OKR´s)'!$L67),"")</f>
      </c>
      <c r="I67" s="200">
        <f>IF($C67,'Proyecto Datos (OKR´s)'!$J67,"")</f>
      </c>
      <c r="J67" s="201">
        <f>IF($C67,IF($I67&gt;=1,"Completado",IF($H67&lt;TODAY(),"Vencido",IF(($H67-TODAY())&lt;='Entregas Próximas'!$I$3,"Próximo a vencer","En curso"))),"")</f>
      </c>
      <c r="K67" s="200">
        <f>IF($C67,$H67-TODAY(),"")</f>
      </c>
      <c r="L67" s="200">
        <f>IF($C67,$N67*1000000+$H67+ROW()/100000,"")</f>
      </c>
      <c r="M67" s="200">
        <f>IF($C67,IF('Proyecto Datos (OKR´s)'!$E67="","(Sin sprint)",'Proyecto Datos (OKR´s)'!$E67),"")</f>
      </c>
      <c r="N67" s="200">
        <f>IF($C67,IF('Proyecto Datos (OKR´s)'!$E67="",9999,'Proyecto Datos (OKR´s)'!$E67),"")</f>
      </c>
    </row>
    <row r="68">
      <c r="A68" s="200">
        <f>ROW()</f>
      </c>
      <c r="B68" s="200">
        <f>ISTEXT('Proyecto Datos (OKR´s)'!$K68)</f>
      </c>
      <c r="C68" s="200">
        <f>AND(LEN('Proyecto Datos (OKR´s)'!$G68)&gt;0,NOT($B68),OR(ISNUMBER('Proyecto Datos (OKR´s)'!$F68),ISNUMBER('Proyecto Datos (OKR´s)'!$L68)))</f>
      </c>
      <c r="D68" s="201">
        <f>IF($C68,IFERROR(LOOKUP(2,1/((ISTEXT('Proyecto Datos (OKR´s)'!$K$7:$K68))*(LEN('Proyecto Datos (OKR´s)'!$G$7:$G68)&gt;0)),'Proyecto Datos (OKR´s)'!$G$7:$G68),""),"")</f>
      </c>
      <c r="E68" s="200">
        <f>IF($C68,'Proyecto Datos (OKR´s)'!$E68,"")</f>
      </c>
      <c r="F68" s="201">
        <f>IF($C68,'Proyecto Datos (OKR´s)'!$G68,"")</f>
      </c>
      <c r="G68" s="201">
        <f>IF($C68,IF('Proyecto Datos (OKR´s)'!$I68="","(Sin asignar)",'Proyecto Datos (OKR´s)'!$I68),"")</f>
      </c>
      <c r="H68" s="200">
        <f>IF($C68,IF(ISNUMBER('Proyecto Datos (OKR´s)'!$F68),'Proyecto Datos (OKR´s)'!$F68,'Proyecto Datos (OKR´s)'!$L68),"")</f>
      </c>
      <c r="I68" s="200">
        <f>IF($C68,'Proyecto Datos (OKR´s)'!$J68,"")</f>
      </c>
      <c r="J68" s="201">
        <f>IF($C68,IF($I68&gt;=1,"Completado",IF($H68&lt;TODAY(),"Vencido",IF(($H68-TODAY())&lt;='Entregas Próximas'!$I$3,"Próximo a vencer","En curso"))),"")</f>
      </c>
      <c r="K68" s="200">
        <f>IF($C68,$H68-TODAY(),"")</f>
      </c>
      <c r="L68" s="200">
        <f>IF($C68,$N68*1000000+$H68+ROW()/100000,"")</f>
      </c>
      <c r="M68" s="200">
        <f>IF($C68,IF('Proyecto Datos (OKR´s)'!$E68="","(Sin sprint)",'Proyecto Datos (OKR´s)'!$E68),"")</f>
      </c>
      <c r="N68" s="200">
        <f>IF($C68,IF('Proyecto Datos (OKR´s)'!$E68="",9999,'Proyecto Datos (OKR´s)'!$E68),"")</f>
      </c>
    </row>
    <row r="69">
      <c r="A69" s="200">
        <f>ROW()</f>
      </c>
      <c r="B69" s="200">
        <f>ISTEXT('Proyecto Datos (OKR´s)'!$K69)</f>
      </c>
      <c r="C69" s="200">
        <f>AND(LEN('Proyecto Datos (OKR´s)'!$G69)&gt;0,NOT($B69),OR(ISNUMBER('Proyecto Datos (OKR´s)'!$F69),ISNUMBER('Proyecto Datos (OKR´s)'!$L69)))</f>
      </c>
      <c r="D69" s="201">
        <f>IF($C69,IFERROR(LOOKUP(2,1/((ISTEXT('Proyecto Datos (OKR´s)'!$K$7:$K69))*(LEN('Proyecto Datos (OKR´s)'!$G$7:$G69)&gt;0)),'Proyecto Datos (OKR´s)'!$G$7:$G69),""),"")</f>
      </c>
      <c r="E69" s="200">
        <f>IF($C69,'Proyecto Datos (OKR´s)'!$E69,"")</f>
      </c>
      <c r="F69" s="201">
        <f>IF($C69,'Proyecto Datos (OKR´s)'!$G69,"")</f>
      </c>
      <c r="G69" s="201">
        <f>IF($C69,IF('Proyecto Datos (OKR´s)'!$I69="","(Sin asignar)",'Proyecto Datos (OKR´s)'!$I69),"")</f>
      </c>
      <c r="H69" s="200">
        <f>IF($C69,IF(ISNUMBER('Proyecto Datos (OKR´s)'!$F69),'Proyecto Datos (OKR´s)'!$F69,'Proyecto Datos (OKR´s)'!$L69),"")</f>
      </c>
      <c r="I69" s="200">
        <f>IF($C69,'Proyecto Datos (OKR´s)'!$J69,"")</f>
      </c>
      <c r="J69" s="201">
        <f>IF($C69,IF($I69&gt;=1,"Completado",IF($H69&lt;TODAY(),"Vencido",IF(($H69-TODAY())&lt;='Entregas Próximas'!$I$3,"Próximo a vencer","En curso"))),"")</f>
      </c>
      <c r="K69" s="200">
        <f>IF($C69,$H69-TODAY(),"")</f>
      </c>
      <c r="L69" s="200">
        <f>IF($C69,$N69*1000000+$H69+ROW()/100000,"")</f>
      </c>
      <c r="M69" s="200">
        <f>IF($C69,IF('Proyecto Datos (OKR´s)'!$E69="","(Sin sprint)",'Proyecto Datos (OKR´s)'!$E69),"")</f>
      </c>
      <c r="N69" s="200">
        <f>IF($C69,IF('Proyecto Datos (OKR´s)'!$E69="",9999,'Proyecto Datos (OKR´s)'!$E69),"")</f>
      </c>
    </row>
    <row r="70">
      <c r="A70" s="200">
        <f>ROW()</f>
      </c>
      <c r="B70" s="200">
        <f>ISTEXT('Proyecto Datos (OKR´s)'!$K70)</f>
      </c>
      <c r="C70" s="200">
        <f>AND(LEN('Proyecto Datos (OKR´s)'!$G70)&gt;0,NOT($B70),OR(ISNUMBER('Proyecto Datos (OKR´s)'!$F70),ISNUMBER('Proyecto Datos (OKR´s)'!$L70)))</f>
      </c>
      <c r="D70" s="201">
        <f>IF($C70,IFERROR(LOOKUP(2,1/((ISTEXT('Proyecto Datos (OKR´s)'!$K$7:$K70))*(LEN('Proyecto Datos (OKR´s)'!$G$7:$G70)&gt;0)),'Proyecto Datos (OKR´s)'!$G$7:$G70),""),"")</f>
      </c>
      <c r="E70" s="200">
        <f>IF($C70,'Proyecto Datos (OKR´s)'!$E70,"")</f>
      </c>
      <c r="F70" s="201">
        <f>IF($C70,'Proyecto Datos (OKR´s)'!$G70,"")</f>
      </c>
      <c r="G70" s="201">
        <f>IF($C70,IF('Proyecto Datos (OKR´s)'!$I70="","(Sin asignar)",'Proyecto Datos (OKR´s)'!$I70),"")</f>
      </c>
      <c r="H70" s="200">
        <f>IF($C70,IF(ISNUMBER('Proyecto Datos (OKR´s)'!$F70),'Proyecto Datos (OKR´s)'!$F70,'Proyecto Datos (OKR´s)'!$L70),"")</f>
      </c>
      <c r="I70" s="200">
        <f>IF($C70,'Proyecto Datos (OKR´s)'!$J70,"")</f>
      </c>
      <c r="J70" s="201">
        <f>IF($C70,IF($I70&gt;=1,"Completado",IF($H70&lt;TODAY(),"Vencido",IF(($H70-TODAY())&lt;='Entregas Próximas'!$I$3,"Próximo a vencer","En curso"))),"")</f>
      </c>
      <c r="K70" s="200">
        <f>IF($C70,$H70-TODAY(),"")</f>
      </c>
      <c r="L70" s="200">
        <f>IF($C70,$N70*1000000+$H70+ROW()/100000,"")</f>
      </c>
      <c r="M70" s="200">
        <f>IF($C70,IF('Proyecto Datos (OKR´s)'!$E70="","(Sin sprint)",'Proyecto Datos (OKR´s)'!$E70),"")</f>
      </c>
      <c r="N70" s="200">
        <f>IF($C70,IF('Proyecto Datos (OKR´s)'!$E70="",9999,'Proyecto Datos (OKR´s)'!$E70),"")</f>
      </c>
    </row>
    <row r="71">
      <c r="A71" s="200">
        <f>ROW()</f>
      </c>
      <c r="B71" s="200">
        <f>ISTEXT('Proyecto Datos (OKR´s)'!$K71)</f>
      </c>
      <c r="C71" s="200">
        <f>AND(LEN('Proyecto Datos (OKR´s)'!$G71)&gt;0,NOT($B71),OR(ISNUMBER('Proyecto Datos (OKR´s)'!$F71),ISNUMBER('Proyecto Datos (OKR´s)'!$L71)))</f>
      </c>
      <c r="D71" s="201">
        <f>IF($C71,IFERROR(LOOKUP(2,1/((ISTEXT('Proyecto Datos (OKR´s)'!$K$7:$K71))*(LEN('Proyecto Datos (OKR´s)'!$G$7:$G71)&gt;0)),'Proyecto Datos (OKR´s)'!$G$7:$G71),""),"")</f>
      </c>
      <c r="E71" s="200">
        <f>IF($C71,'Proyecto Datos (OKR´s)'!$E71,"")</f>
      </c>
      <c r="F71" s="201">
        <f>IF($C71,'Proyecto Datos (OKR´s)'!$G71,"")</f>
      </c>
      <c r="G71" s="201">
        <f>IF($C71,IF('Proyecto Datos (OKR´s)'!$I71="","(Sin asignar)",'Proyecto Datos (OKR´s)'!$I71),"")</f>
      </c>
      <c r="H71" s="200">
        <f>IF($C71,IF(ISNUMBER('Proyecto Datos (OKR´s)'!$F71),'Proyecto Datos (OKR´s)'!$F71,'Proyecto Datos (OKR´s)'!$L71),"")</f>
      </c>
      <c r="I71" s="200">
        <f>IF($C71,'Proyecto Datos (OKR´s)'!$J71,"")</f>
      </c>
      <c r="J71" s="201">
        <f>IF($C71,IF($I71&gt;=1,"Completado",IF($H71&lt;TODAY(),"Vencido",IF(($H71-TODAY())&lt;='Entregas Próximas'!$I$3,"Próximo a vencer","En curso"))),"")</f>
      </c>
      <c r="K71" s="200">
        <f>IF($C71,$H71-TODAY(),"")</f>
      </c>
      <c r="L71" s="200">
        <f>IF($C71,$N71*1000000+$H71+ROW()/100000,"")</f>
      </c>
      <c r="M71" s="200">
        <f>IF($C71,IF('Proyecto Datos (OKR´s)'!$E71="","(Sin sprint)",'Proyecto Datos (OKR´s)'!$E71),"")</f>
      </c>
      <c r="N71" s="200">
        <f>IF($C71,IF('Proyecto Datos (OKR´s)'!$E71="",9999,'Proyecto Datos (OKR´s)'!$E71),"")</f>
      </c>
    </row>
    <row r="72">
      <c r="A72" s="200">
        <f>ROW()</f>
      </c>
      <c r="B72" s="200">
        <f>ISTEXT('Proyecto Datos (OKR´s)'!$K72)</f>
      </c>
      <c r="C72" s="200">
        <f>AND(LEN('Proyecto Datos (OKR´s)'!$G72)&gt;0,NOT($B72),OR(ISNUMBER('Proyecto Datos (OKR´s)'!$F72),ISNUMBER('Proyecto Datos (OKR´s)'!$L72)))</f>
      </c>
      <c r="D72" s="201">
        <f>IF($C72,IFERROR(LOOKUP(2,1/((ISTEXT('Proyecto Datos (OKR´s)'!$K$7:$K72))*(LEN('Proyecto Datos (OKR´s)'!$G$7:$G72)&gt;0)),'Proyecto Datos (OKR´s)'!$G$7:$G72),""),"")</f>
      </c>
      <c r="E72" s="200">
        <f>IF($C72,'Proyecto Datos (OKR´s)'!$E72,"")</f>
      </c>
      <c r="F72" s="201">
        <f>IF($C72,'Proyecto Datos (OKR´s)'!$G72,"")</f>
      </c>
      <c r="G72" s="201">
        <f>IF($C72,IF('Proyecto Datos (OKR´s)'!$I72="","(Sin asignar)",'Proyecto Datos (OKR´s)'!$I72),"")</f>
      </c>
      <c r="H72" s="200">
        <f>IF($C72,IF(ISNUMBER('Proyecto Datos (OKR´s)'!$F72),'Proyecto Datos (OKR´s)'!$F72,'Proyecto Datos (OKR´s)'!$L72),"")</f>
      </c>
      <c r="I72" s="200">
        <f>IF($C72,'Proyecto Datos (OKR´s)'!$J72,"")</f>
      </c>
      <c r="J72" s="201">
        <f>IF($C72,IF($I72&gt;=1,"Completado",IF($H72&lt;TODAY(),"Vencido",IF(($H72-TODAY())&lt;='Entregas Próximas'!$I$3,"Próximo a vencer","En curso"))),"")</f>
      </c>
      <c r="K72" s="200">
        <f>IF($C72,$H72-TODAY(),"")</f>
      </c>
      <c r="L72" s="200">
        <f>IF($C72,$N72*1000000+$H72+ROW()/100000,"")</f>
      </c>
      <c r="M72" s="200">
        <f>IF($C72,IF('Proyecto Datos (OKR´s)'!$E72="","(Sin sprint)",'Proyecto Datos (OKR´s)'!$E72),"")</f>
      </c>
      <c r="N72" s="200">
        <f>IF($C72,IF('Proyecto Datos (OKR´s)'!$E72="",9999,'Proyecto Datos (OKR´s)'!$E72),"")</f>
      </c>
    </row>
    <row r="73">
      <c r="A73" s="200">
        <f>ROW()</f>
      </c>
      <c r="B73" s="200">
        <f>ISTEXT('Proyecto Datos (OKR´s)'!$K73)</f>
      </c>
      <c r="C73" s="200">
        <f>AND(LEN('Proyecto Datos (OKR´s)'!$G73)&gt;0,NOT($B73),OR(ISNUMBER('Proyecto Datos (OKR´s)'!$F73),ISNUMBER('Proyecto Datos (OKR´s)'!$L73)))</f>
      </c>
      <c r="D73" s="201">
        <f>IF($C73,IFERROR(LOOKUP(2,1/((ISTEXT('Proyecto Datos (OKR´s)'!$K$7:$K73))*(LEN('Proyecto Datos (OKR´s)'!$G$7:$G73)&gt;0)),'Proyecto Datos (OKR´s)'!$G$7:$G73),""),"")</f>
      </c>
      <c r="E73" s="200">
        <f>IF($C73,'Proyecto Datos (OKR´s)'!$E73,"")</f>
      </c>
      <c r="F73" s="201">
        <f>IF($C73,'Proyecto Datos (OKR´s)'!$G73,"")</f>
      </c>
      <c r="G73" s="201">
        <f>IF($C73,IF('Proyecto Datos (OKR´s)'!$I73="","(Sin asignar)",'Proyecto Datos (OKR´s)'!$I73),"")</f>
      </c>
      <c r="H73" s="200">
        <f>IF($C73,IF(ISNUMBER('Proyecto Datos (OKR´s)'!$F73),'Proyecto Datos (OKR´s)'!$F73,'Proyecto Datos (OKR´s)'!$L73),"")</f>
      </c>
      <c r="I73" s="200">
        <f>IF($C73,'Proyecto Datos (OKR´s)'!$J73,"")</f>
      </c>
      <c r="J73" s="201">
        <f>IF($C73,IF($I73&gt;=1,"Completado",IF($H73&lt;TODAY(),"Vencido",IF(($H73-TODAY())&lt;='Entregas Próximas'!$I$3,"Próximo a vencer","En curso"))),"")</f>
      </c>
      <c r="K73" s="200">
        <f>IF($C73,$H73-TODAY(),"")</f>
      </c>
      <c r="L73" s="200">
        <f>IF($C73,$N73*1000000+$H73+ROW()/100000,"")</f>
      </c>
      <c r="M73" s="200">
        <f>IF($C73,IF('Proyecto Datos (OKR´s)'!$E73="","(Sin sprint)",'Proyecto Datos (OKR´s)'!$E73),"")</f>
      </c>
      <c r="N73" s="200">
        <f>IF($C73,IF('Proyecto Datos (OKR´s)'!$E73="",9999,'Proyecto Datos (OKR´s)'!$E73),"")</f>
      </c>
    </row>
    <row r="74">
      <c r="A74" s="200">
        <f>ROW()</f>
      </c>
      <c r="B74" s="200">
        <f>ISTEXT('Proyecto Datos (OKR´s)'!$K74)</f>
      </c>
      <c r="C74" s="200">
        <f>AND(LEN('Proyecto Datos (OKR´s)'!$G74)&gt;0,NOT($B74),OR(ISNUMBER('Proyecto Datos (OKR´s)'!$F74),ISNUMBER('Proyecto Datos (OKR´s)'!$L74)))</f>
      </c>
      <c r="D74" s="201">
        <f>IF($C74,IFERROR(LOOKUP(2,1/((ISTEXT('Proyecto Datos (OKR´s)'!$K$7:$K74))*(LEN('Proyecto Datos (OKR´s)'!$G$7:$G74)&gt;0)),'Proyecto Datos (OKR´s)'!$G$7:$G74),""),"")</f>
      </c>
      <c r="E74" s="200">
        <f>IF($C74,'Proyecto Datos (OKR´s)'!$E74,"")</f>
      </c>
      <c r="F74" s="201">
        <f>IF($C74,'Proyecto Datos (OKR´s)'!$G74,"")</f>
      </c>
      <c r="G74" s="201">
        <f>IF($C74,IF('Proyecto Datos (OKR´s)'!$I74="","(Sin asignar)",'Proyecto Datos (OKR´s)'!$I74),"")</f>
      </c>
      <c r="H74" s="200">
        <f>IF($C74,IF(ISNUMBER('Proyecto Datos (OKR´s)'!$F74),'Proyecto Datos (OKR´s)'!$F74,'Proyecto Datos (OKR´s)'!$L74),"")</f>
      </c>
      <c r="I74" s="200">
        <f>IF($C74,'Proyecto Datos (OKR´s)'!$J74,"")</f>
      </c>
      <c r="J74" s="201">
        <f>IF($C74,IF($I74&gt;=1,"Completado",IF($H74&lt;TODAY(),"Vencido",IF(($H74-TODAY())&lt;='Entregas Próximas'!$I$3,"Próximo a vencer","En curso"))),"")</f>
      </c>
      <c r="K74" s="200">
        <f>IF($C74,$H74-TODAY(),"")</f>
      </c>
      <c r="L74" s="200">
        <f>IF($C74,$N74*1000000+$H74+ROW()/100000,"")</f>
      </c>
      <c r="M74" s="200">
        <f>IF($C74,IF('Proyecto Datos (OKR´s)'!$E74="","(Sin sprint)",'Proyecto Datos (OKR´s)'!$E74),"")</f>
      </c>
      <c r="N74" s="200">
        <f>IF($C74,IF('Proyecto Datos (OKR´s)'!$E74="",9999,'Proyecto Datos (OKR´s)'!$E74),"")</f>
      </c>
    </row>
    <row r="75">
      <c r="A75" s="200">
        <f>ROW()</f>
      </c>
      <c r="B75" s="200">
        <f>ISTEXT('Proyecto Datos (OKR´s)'!$K75)</f>
      </c>
      <c r="C75" s="200">
        <f>AND(LEN('Proyecto Datos (OKR´s)'!$G75)&gt;0,NOT($B75),OR(ISNUMBER('Proyecto Datos (OKR´s)'!$F75),ISNUMBER('Proyecto Datos (OKR´s)'!$L75)))</f>
      </c>
      <c r="D75" s="201">
        <f>IF($C75,IFERROR(LOOKUP(2,1/((ISTEXT('Proyecto Datos (OKR´s)'!$K$7:$K75))*(LEN('Proyecto Datos (OKR´s)'!$G$7:$G75)&gt;0)),'Proyecto Datos (OKR´s)'!$G$7:$G75),""),"")</f>
      </c>
      <c r="E75" s="200">
        <f>IF($C75,'Proyecto Datos (OKR´s)'!$E75,"")</f>
      </c>
      <c r="F75" s="201">
        <f>IF($C75,'Proyecto Datos (OKR´s)'!$G75,"")</f>
      </c>
      <c r="G75" s="201">
        <f>IF($C75,IF('Proyecto Datos (OKR´s)'!$I75="","(Sin asignar)",'Proyecto Datos (OKR´s)'!$I75),"")</f>
      </c>
      <c r="H75" s="200">
        <f>IF($C75,IF(ISNUMBER('Proyecto Datos (OKR´s)'!$F75),'Proyecto Datos (OKR´s)'!$F75,'Proyecto Datos (OKR´s)'!$L75),"")</f>
      </c>
      <c r="I75" s="200">
        <f>IF($C75,'Proyecto Datos (OKR´s)'!$J75,"")</f>
      </c>
      <c r="J75" s="201">
        <f>IF($C75,IF($I75&gt;=1,"Completado",IF($H75&lt;TODAY(),"Vencido",IF(($H75-TODAY())&lt;='Entregas Próximas'!$I$3,"Próximo a vencer","En curso"))),"")</f>
      </c>
      <c r="K75" s="200">
        <f>IF($C75,$H75-TODAY(),"")</f>
      </c>
      <c r="L75" s="200">
        <f>IF($C75,$N75*1000000+$H75+ROW()/100000,"")</f>
      </c>
      <c r="M75" s="200">
        <f>IF($C75,IF('Proyecto Datos (OKR´s)'!$E75="","(Sin sprint)",'Proyecto Datos (OKR´s)'!$E75),"")</f>
      </c>
      <c r="N75" s="200">
        <f>IF($C75,IF('Proyecto Datos (OKR´s)'!$E75="",9999,'Proyecto Datos (OKR´s)'!$E75),"")</f>
      </c>
    </row>
    <row r="76">
      <c r="A76" s="200">
        <f>ROW()</f>
      </c>
      <c r="B76" s="200">
        <f>ISTEXT('Proyecto Datos (OKR´s)'!$K76)</f>
      </c>
      <c r="C76" s="200">
        <f>AND(LEN('Proyecto Datos (OKR´s)'!$G76)&gt;0,NOT($B76),OR(ISNUMBER('Proyecto Datos (OKR´s)'!$F76),ISNUMBER('Proyecto Datos (OKR´s)'!$L76)))</f>
      </c>
      <c r="D76" s="201">
        <f>IF($C76,IFERROR(LOOKUP(2,1/((ISTEXT('Proyecto Datos (OKR´s)'!$K$7:$K76))*(LEN('Proyecto Datos (OKR´s)'!$G$7:$G76)&gt;0)),'Proyecto Datos (OKR´s)'!$G$7:$G76),""),"")</f>
      </c>
      <c r="E76" s="200">
        <f>IF($C76,'Proyecto Datos (OKR´s)'!$E76,"")</f>
      </c>
      <c r="F76" s="201">
        <f>IF($C76,'Proyecto Datos (OKR´s)'!$G76,"")</f>
      </c>
      <c r="G76" s="201">
        <f>IF($C76,IF('Proyecto Datos (OKR´s)'!$I76="","(Sin asignar)",'Proyecto Datos (OKR´s)'!$I76),"")</f>
      </c>
      <c r="H76" s="200">
        <f>IF($C76,IF(ISNUMBER('Proyecto Datos (OKR´s)'!$F76),'Proyecto Datos (OKR´s)'!$F76,'Proyecto Datos (OKR´s)'!$L76),"")</f>
      </c>
      <c r="I76" s="200">
        <f>IF($C76,'Proyecto Datos (OKR´s)'!$J76,"")</f>
      </c>
      <c r="J76" s="201">
        <f>IF($C76,IF($I76&gt;=1,"Completado",IF($H76&lt;TODAY(),"Vencido",IF(($H76-TODAY())&lt;='Entregas Próximas'!$I$3,"Próximo a vencer","En curso"))),"")</f>
      </c>
      <c r="K76" s="200">
        <f>IF($C76,$H76-TODAY(),"")</f>
      </c>
      <c r="L76" s="200">
        <f>IF($C76,$N76*1000000+$H76+ROW()/100000,"")</f>
      </c>
      <c r="M76" s="200">
        <f>IF($C76,IF('Proyecto Datos (OKR´s)'!$E76="","(Sin sprint)",'Proyecto Datos (OKR´s)'!$E76),"")</f>
      </c>
      <c r="N76" s="200">
        <f>IF($C76,IF('Proyecto Datos (OKR´s)'!$E76="",9999,'Proyecto Datos (OKR´s)'!$E76),"")</f>
      </c>
    </row>
    <row r="77">
      <c r="A77" s="200">
        <f>ROW()</f>
      </c>
      <c r="B77" s="200">
        <f>ISTEXT('Proyecto Datos (OKR´s)'!$K77)</f>
      </c>
      <c r="C77" s="200">
        <f>AND(LEN('Proyecto Datos (OKR´s)'!$G77)&gt;0,NOT($B77),OR(ISNUMBER('Proyecto Datos (OKR´s)'!$F77),ISNUMBER('Proyecto Datos (OKR´s)'!$L77)))</f>
      </c>
      <c r="D77" s="201">
        <f>IF($C77,IFERROR(LOOKUP(2,1/((ISTEXT('Proyecto Datos (OKR´s)'!$K$7:$K77))*(LEN('Proyecto Datos (OKR´s)'!$G$7:$G77)&gt;0)),'Proyecto Datos (OKR´s)'!$G$7:$G77),""),"")</f>
      </c>
      <c r="E77" s="200">
        <f>IF($C77,'Proyecto Datos (OKR´s)'!$E77,"")</f>
      </c>
      <c r="F77" s="201">
        <f>IF($C77,'Proyecto Datos (OKR´s)'!$G77,"")</f>
      </c>
      <c r="G77" s="201">
        <f>IF($C77,IF('Proyecto Datos (OKR´s)'!$I77="","(Sin asignar)",'Proyecto Datos (OKR´s)'!$I77),"")</f>
      </c>
      <c r="H77" s="200">
        <f>IF($C77,IF(ISNUMBER('Proyecto Datos (OKR´s)'!$F77),'Proyecto Datos (OKR´s)'!$F77,'Proyecto Datos (OKR´s)'!$L77),"")</f>
      </c>
      <c r="I77" s="200">
        <f>IF($C77,'Proyecto Datos (OKR´s)'!$J77,"")</f>
      </c>
      <c r="J77" s="201">
        <f>IF($C77,IF($I77&gt;=1,"Completado",IF($H77&lt;TODAY(),"Vencido",IF(($H77-TODAY())&lt;='Entregas Próximas'!$I$3,"Próximo a vencer","En curso"))),"")</f>
      </c>
      <c r="K77" s="200">
        <f>IF($C77,$H77-TODAY(),"")</f>
      </c>
      <c r="L77" s="200">
        <f>IF($C77,$N77*1000000+$H77+ROW()/100000,"")</f>
      </c>
      <c r="M77" s="200">
        <f>IF($C77,IF('Proyecto Datos (OKR´s)'!$E77="","(Sin sprint)",'Proyecto Datos (OKR´s)'!$E77),"")</f>
      </c>
      <c r="N77" s="200">
        <f>IF($C77,IF('Proyecto Datos (OKR´s)'!$E77="",9999,'Proyecto Datos (OKR´s)'!$E77),"")</f>
      </c>
    </row>
    <row r="78">
      <c r="A78" s="200">
        <f>ROW()</f>
      </c>
      <c r="B78" s="200">
        <f>ISTEXT('Proyecto Datos (OKR´s)'!$K78)</f>
      </c>
      <c r="C78" s="200">
        <f>AND(LEN('Proyecto Datos (OKR´s)'!$G78)&gt;0,NOT($B78),OR(ISNUMBER('Proyecto Datos (OKR´s)'!$F78),ISNUMBER('Proyecto Datos (OKR´s)'!$L78)))</f>
      </c>
      <c r="D78" s="201">
        <f>IF($C78,IFERROR(LOOKUP(2,1/((ISTEXT('Proyecto Datos (OKR´s)'!$K$7:$K78))*(LEN('Proyecto Datos (OKR´s)'!$G$7:$G78)&gt;0)),'Proyecto Datos (OKR´s)'!$G$7:$G78),""),"")</f>
      </c>
      <c r="E78" s="200">
        <f>IF($C78,'Proyecto Datos (OKR´s)'!$E78,"")</f>
      </c>
      <c r="F78" s="201">
        <f>IF($C78,'Proyecto Datos (OKR´s)'!$G78,"")</f>
      </c>
      <c r="G78" s="201">
        <f>IF($C78,IF('Proyecto Datos (OKR´s)'!$I78="","(Sin asignar)",'Proyecto Datos (OKR´s)'!$I78),"")</f>
      </c>
      <c r="H78" s="200">
        <f>IF($C78,IF(ISNUMBER('Proyecto Datos (OKR´s)'!$F78),'Proyecto Datos (OKR´s)'!$F78,'Proyecto Datos (OKR´s)'!$L78),"")</f>
      </c>
      <c r="I78" s="200">
        <f>IF($C78,'Proyecto Datos (OKR´s)'!$J78,"")</f>
      </c>
      <c r="J78" s="201">
        <f>IF($C78,IF($I78&gt;=1,"Completado",IF($H78&lt;TODAY(),"Vencido",IF(($H78-TODAY())&lt;='Entregas Próximas'!$I$3,"Próximo a vencer","En curso"))),"")</f>
      </c>
      <c r="K78" s="200">
        <f>IF($C78,$H78-TODAY(),"")</f>
      </c>
      <c r="L78" s="200">
        <f>IF($C78,$N78*1000000+$H78+ROW()/100000,"")</f>
      </c>
      <c r="M78" s="200">
        <f>IF($C78,IF('Proyecto Datos (OKR´s)'!$E78="","(Sin sprint)",'Proyecto Datos (OKR´s)'!$E78),"")</f>
      </c>
      <c r="N78" s="200">
        <f>IF($C78,IF('Proyecto Datos (OKR´s)'!$E78="",9999,'Proyecto Datos (OKR´s)'!$E78),"")</f>
      </c>
    </row>
    <row r="79">
      <c r="A79" s="200">
        <f>ROW()</f>
      </c>
      <c r="B79" s="200">
        <f>ISTEXT('Proyecto Datos (OKR´s)'!$K79)</f>
      </c>
      <c r="C79" s="200">
        <f>AND(LEN('Proyecto Datos (OKR´s)'!$G79)&gt;0,NOT($B79),OR(ISNUMBER('Proyecto Datos (OKR´s)'!$F79),ISNUMBER('Proyecto Datos (OKR´s)'!$L79)))</f>
      </c>
      <c r="D79" s="201">
        <f>IF($C79,IFERROR(LOOKUP(2,1/((ISTEXT('Proyecto Datos (OKR´s)'!$K$7:$K79))*(LEN('Proyecto Datos (OKR´s)'!$G$7:$G79)&gt;0)),'Proyecto Datos (OKR´s)'!$G$7:$G79),""),"")</f>
      </c>
      <c r="E79" s="200">
        <f>IF($C79,'Proyecto Datos (OKR´s)'!$E79,"")</f>
      </c>
      <c r="F79" s="201">
        <f>IF($C79,'Proyecto Datos (OKR´s)'!$G79,"")</f>
      </c>
      <c r="G79" s="201">
        <f>IF($C79,IF('Proyecto Datos (OKR´s)'!$I79="","(Sin asignar)",'Proyecto Datos (OKR´s)'!$I79),"")</f>
      </c>
      <c r="H79" s="200">
        <f>IF($C79,IF(ISNUMBER('Proyecto Datos (OKR´s)'!$F79),'Proyecto Datos (OKR´s)'!$F79,'Proyecto Datos (OKR´s)'!$L79),"")</f>
      </c>
      <c r="I79" s="200">
        <f>IF($C79,'Proyecto Datos (OKR´s)'!$J79,"")</f>
      </c>
      <c r="J79" s="201">
        <f>IF($C79,IF($I79&gt;=1,"Completado",IF($H79&lt;TODAY(),"Vencido",IF(($H79-TODAY())&lt;='Entregas Próximas'!$I$3,"Próximo a vencer","En curso"))),"")</f>
      </c>
      <c r="K79" s="200">
        <f>IF($C79,$H79-TODAY(),"")</f>
      </c>
      <c r="L79" s="200">
        <f>IF($C79,$N79*1000000+$H79+ROW()/100000,"")</f>
      </c>
      <c r="M79" s="200">
        <f>IF($C79,IF('Proyecto Datos (OKR´s)'!$E79="","(Sin sprint)",'Proyecto Datos (OKR´s)'!$E79),"")</f>
      </c>
      <c r="N79" s="200">
        <f>IF($C79,IF('Proyecto Datos (OKR´s)'!$E79="",9999,'Proyecto Datos (OKR´s)'!$E79),"")</f>
      </c>
    </row>
    <row r="80">
      <c r="A80" s="200">
        <f>ROW()</f>
      </c>
      <c r="B80" s="200">
        <f>ISTEXT('Proyecto Datos (OKR´s)'!$K80)</f>
      </c>
      <c r="C80" s="200">
        <f>AND(LEN('Proyecto Datos (OKR´s)'!$G80)&gt;0,NOT($B80),OR(ISNUMBER('Proyecto Datos (OKR´s)'!$F80),ISNUMBER('Proyecto Datos (OKR´s)'!$L80)))</f>
      </c>
      <c r="D80" s="201">
        <f>IF($C80,IFERROR(LOOKUP(2,1/((ISTEXT('Proyecto Datos (OKR´s)'!$K$7:$K80))*(LEN('Proyecto Datos (OKR´s)'!$G$7:$G80)&gt;0)),'Proyecto Datos (OKR´s)'!$G$7:$G80),""),"")</f>
      </c>
      <c r="E80" s="200">
        <f>IF($C80,'Proyecto Datos (OKR´s)'!$E80,"")</f>
      </c>
      <c r="F80" s="201">
        <f>IF($C80,'Proyecto Datos (OKR´s)'!$G80,"")</f>
      </c>
      <c r="G80" s="201">
        <f>IF($C80,IF('Proyecto Datos (OKR´s)'!$I80="","(Sin asignar)",'Proyecto Datos (OKR´s)'!$I80),"")</f>
      </c>
      <c r="H80" s="200">
        <f>IF($C80,IF(ISNUMBER('Proyecto Datos (OKR´s)'!$F80),'Proyecto Datos (OKR´s)'!$F80,'Proyecto Datos (OKR´s)'!$L80),"")</f>
      </c>
      <c r="I80" s="200">
        <f>IF($C80,'Proyecto Datos (OKR´s)'!$J80,"")</f>
      </c>
      <c r="J80" s="201">
        <f>IF($C80,IF($I80&gt;=1,"Completado",IF($H80&lt;TODAY(),"Vencido",IF(($H80-TODAY())&lt;='Entregas Próximas'!$I$3,"Próximo a vencer","En curso"))),"")</f>
      </c>
      <c r="K80" s="200">
        <f>IF($C80,$H80-TODAY(),"")</f>
      </c>
      <c r="L80" s="200">
        <f>IF($C80,$N80*1000000+$H80+ROW()/100000,"")</f>
      </c>
      <c r="M80" s="200">
        <f>IF($C80,IF('Proyecto Datos (OKR´s)'!$E80="","(Sin sprint)",'Proyecto Datos (OKR´s)'!$E80),"")</f>
      </c>
      <c r="N80" s="200">
        <f>IF($C80,IF('Proyecto Datos (OKR´s)'!$E80="",9999,'Proyecto Datos (OKR´s)'!$E80),"")</f>
      </c>
    </row>
    <row r="81">
      <c r="A81" s="200">
        <f>ROW()</f>
      </c>
      <c r="B81" s="200">
        <f>ISTEXT('Proyecto Datos (OKR´s)'!$K81)</f>
      </c>
      <c r="C81" s="200">
        <f>AND(LEN('Proyecto Datos (OKR´s)'!$G81)&gt;0,NOT($B81),OR(ISNUMBER('Proyecto Datos (OKR´s)'!$F81),ISNUMBER('Proyecto Datos (OKR´s)'!$L81)))</f>
      </c>
      <c r="D81" s="201">
        <f>IF($C81,IFERROR(LOOKUP(2,1/((ISTEXT('Proyecto Datos (OKR´s)'!$K$7:$K81))*(LEN('Proyecto Datos (OKR´s)'!$G$7:$G81)&gt;0)),'Proyecto Datos (OKR´s)'!$G$7:$G81),""),"")</f>
      </c>
      <c r="E81" s="200">
        <f>IF($C81,'Proyecto Datos (OKR´s)'!$E81,"")</f>
      </c>
      <c r="F81" s="201">
        <f>IF($C81,'Proyecto Datos (OKR´s)'!$G81,"")</f>
      </c>
      <c r="G81" s="201">
        <f>IF($C81,IF('Proyecto Datos (OKR´s)'!$I81="","(Sin asignar)",'Proyecto Datos (OKR´s)'!$I81),"")</f>
      </c>
      <c r="H81" s="200">
        <f>IF($C81,IF(ISNUMBER('Proyecto Datos (OKR´s)'!$F81),'Proyecto Datos (OKR´s)'!$F81,'Proyecto Datos (OKR´s)'!$L81),"")</f>
      </c>
      <c r="I81" s="200">
        <f>IF($C81,'Proyecto Datos (OKR´s)'!$J81,"")</f>
      </c>
      <c r="J81" s="201">
        <f>IF($C81,IF($I81&gt;=1,"Completado",IF($H81&lt;TODAY(),"Vencido",IF(($H81-TODAY())&lt;='Entregas Próximas'!$I$3,"Próximo a vencer","En curso"))),"")</f>
      </c>
      <c r="K81" s="200">
        <f>IF($C81,$H81-TODAY(),"")</f>
      </c>
      <c r="L81" s="200">
        <f>IF($C81,$N81*1000000+$H81+ROW()/100000,"")</f>
      </c>
      <c r="M81" s="200">
        <f>IF($C81,IF('Proyecto Datos (OKR´s)'!$E81="","(Sin sprint)",'Proyecto Datos (OKR´s)'!$E81),"")</f>
      </c>
      <c r="N81" s="200">
        <f>IF($C81,IF('Proyecto Datos (OKR´s)'!$E81="",9999,'Proyecto Datos (OKR´s)'!$E81),"")</f>
      </c>
    </row>
    <row r="82">
      <c r="A82" s="200">
        <f>ROW()</f>
      </c>
      <c r="B82" s="200">
        <f>ISTEXT('Proyecto Datos (OKR´s)'!$K82)</f>
      </c>
      <c r="C82" s="200">
        <f>AND(LEN('Proyecto Datos (OKR´s)'!$G82)&gt;0,NOT($B82),OR(ISNUMBER('Proyecto Datos (OKR´s)'!$F82),ISNUMBER('Proyecto Datos (OKR´s)'!$L82)))</f>
      </c>
      <c r="D82" s="201">
        <f>IF($C82,IFERROR(LOOKUP(2,1/((ISTEXT('Proyecto Datos (OKR´s)'!$K$7:$K82))*(LEN('Proyecto Datos (OKR´s)'!$G$7:$G82)&gt;0)),'Proyecto Datos (OKR´s)'!$G$7:$G82),""),"")</f>
      </c>
      <c r="E82" s="200">
        <f>IF($C82,'Proyecto Datos (OKR´s)'!$E82,"")</f>
      </c>
      <c r="F82" s="201">
        <f>IF($C82,'Proyecto Datos (OKR´s)'!$G82,"")</f>
      </c>
      <c r="G82" s="201">
        <f>IF($C82,IF('Proyecto Datos (OKR´s)'!$I82="","(Sin asignar)",'Proyecto Datos (OKR´s)'!$I82),"")</f>
      </c>
      <c r="H82" s="200">
        <f>IF($C82,IF(ISNUMBER('Proyecto Datos (OKR´s)'!$F82),'Proyecto Datos (OKR´s)'!$F82,'Proyecto Datos (OKR´s)'!$L82),"")</f>
      </c>
      <c r="I82" s="200">
        <f>IF($C82,'Proyecto Datos (OKR´s)'!$J82,"")</f>
      </c>
      <c r="J82" s="201">
        <f>IF($C82,IF($I82&gt;=1,"Completado",IF($H82&lt;TODAY(),"Vencido",IF(($H82-TODAY())&lt;='Entregas Próximas'!$I$3,"Próximo a vencer","En curso"))),"")</f>
      </c>
      <c r="K82" s="200">
        <f>IF($C82,$H82-TODAY(),"")</f>
      </c>
      <c r="L82" s="200">
        <f>IF($C82,$N82*1000000+$H82+ROW()/100000,"")</f>
      </c>
      <c r="M82" s="200">
        <f>IF($C82,IF('Proyecto Datos (OKR´s)'!$E82="","(Sin sprint)",'Proyecto Datos (OKR´s)'!$E82),"")</f>
      </c>
      <c r="N82" s="200">
        <f>IF($C82,IF('Proyecto Datos (OKR´s)'!$E82="",9999,'Proyecto Datos (OKR´s)'!$E82),"")</f>
      </c>
    </row>
    <row r="83">
      <c r="A83" s="200">
        <f>ROW()</f>
      </c>
      <c r="B83" s="200">
        <f>ISTEXT('Proyecto Datos (OKR´s)'!$K83)</f>
      </c>
      <c r="C83" s="200">
        <f>AND(LEN('Proyecto Datos (OKR´s)'!$G83)&gt;0,NOT($B83),OR(ISNUMBER('Proyecto Datos (OKR´s)'!$F83),ISNUMBER('Proyecto Datos (OKR´s)'!$L83)))</f>
      </c>
      <c r="D83" s="201">
        <f>IF($C83,IFERROR(LOOKUP(2,1/((ISTEXT('Proyecto Datos (OKR´s)'!$K$7:$K83))*(LEN('Proyecto Datos (OKR´s)'!$G$7:$G83)&gt;0)),'Proyecto Datos (OKR´s)'!$G$7:$G83),""),"")</f>
      </c>
      <c r="E83" s="200">
        <f>IF($C83,'Proyecto Datos (OKR´s)'!$E83,"")</f>
      </c>
      <c r="F83" s="201">
        <f>IF($C83,'Proyecto Datos (OKR´s)'!$G83,"")</f>
      </c>
      <c r="G83" s="201">
        <f>IF($C83,IF('Proyecto Datos (OKR´s)'!$I83="","(Sin asignar)",'Proyecto Datos (OKR´s)'!$I83),"")</f>
      </c>
      <c r="H83" s="200">
        <f>IF($C83,IF(ISNUMBER('Proyecto Datos (OKR´s)'!$F83),'Proyecto Datos (OKR´s)'!$F83,'Proyecto Datos (OKR´s)'!$L83),"")</f>
      </c>
      <c r="I83" s="200">
        <f>IF($C83,'Proyecto Datos (OKR´s)'!$J83,"")</f>
      </c>
      <c r="J83" s="201">
        <f>IF($C83,IF($I83&gt;=1,"Completado",IF($H83&lt;TODAY(),"Vencido",IF(($H83-TODAY())&lt;='Entregas Próximas'!$I$3,"Próximo a vencer","En curso"))),"")</f>
      </c>
      <c r="K83" s="200">
        <f>IF($C83,$H83-TODAY(),"")</f>
      </c>
      <c r="L83" s="200">
        <f>IF($C83,$N83*1000000+$H83+ROW()/100000,"")</f>
      </c>
      <c r="M83" s="200">
        <f>IF($C83,IF('Proyecto Datos (OKR´s)'!$E83="","(Sin sprint)",'Proyecto Datos (OKR´s)'!$E83),"")</f>
      </c>
      <c r="N83" s="200">
        <f>IF($C83,IF('Proyecto Datos (OKR´s)'!$E83="",9999,'Proyecto Datos (OKR´s)'!$E83),"")</f>
      </c>
    </row>
    <row r="84">
      <c r="A84" s="200">
        <f>ROW()</f>
      </c>
      <c r="B84" s="200">
        <f>ISTEXT('Proyecto Datos (OKR´s)'!$K84)</f>
      </c>
      <c r="C84" s="200">
        <f>AND(LEN('Proyecto Datos (OKR´s)'!$G84)&gt;0,NOT($B84),OR(ISNUMBER('Proyecto Datos (OKR´s)'!$F84),ISNUMBER('Proyecto Datos (OKR´s)'!$L84)))</f>
      </c>
      <c r="D84" s="201">
        <f>IF($C84,IFERROR(LOOKUP(2,1/((ISTEXT('Proyecto Datos (OKR´s)'!$K$7:$K84))*(LEN('Proyecto Datos (OKR´s)'!$G$7:$G84)&gt;0)),'Proyecto Datos (OKR´s)'!$G$7:$G84),""),"")</f>
      </c>
      <c r="E84" s="200">
        <f>IF($C84,'Proyecto Datos (OKR´s)'!$E84,"")</f>
      </c>
      <c r="F84" s="201">
        <f>IF($C84,'Proyecto Datos (OKR´s)'!$G84,"")</f>
      </c>
      <c r="G84" s="201">
        <f>IF($C84,IF('Proyecto Datos (OKR´s)'!$I84="","(Sin asignar)",'Proyecto Datos (OKR´s)'!$I84),"")</f>
      </c>
      <c r="H84" s="200">
        <f>IF($C84,IF(ISNUMBER('Proyecto Datos (OKR´s)'!$F84),'Proyecto Datos (OKR´s)'!$F84,'Proyecto Datos (OKR´s)'!$L84),"")</f>
      </c>
      <c r="I84" s="200">
        <f>IF($C84,'Proyecto Datos (OKR´s)'!$J84,"")</f>
      </c>
      <c r="J84" s="201">
        <f>IF($C84,IF($I84&gt;=1,"Completado",IF($H84&lt;TODAY(),"Vencido",IF(($H84-TODAY())&lt;='Entregas Próximas'!$I$3,"Próximo a vencer","En curso"))),"")</f>
      </c>
      <c r="K84" s="200">
        <f>IF($C84,$H84-TODAY(),"")</f>
      </c>
      <c r="L84" s="200">
        <f>IF($C84,$N84*1000000+$H84+ROW()/100000,"")</f>
      </c>
      <c r="M84" s="200">
        <f>IF($C84,IF('Proyecto Datos (OKR´s)'!$E84="","(Sin sprint)",'Proyecto Datos (OKR´s)'!$E84),"")</f>
      </c>
      <c r="N84" s="200">
        <f>IF($C84,IF('Proyecto Datos (OKR´s)'!$E84="",9999,'Proyecto Datos (OKR´s)'!$E84),"")</f>
      </c>
    </row>
    <row r="85">
      <c r="A85" s="200">
        <f>ROW()</f>
      </c>
      <c r="B85" s="200">
        <f>ISTEXT('Proyecto Datos (OKR´s)'!$K85)</f>
      </c>
      <c r="C85" s="200">
        <f>AND(LEN('Proyecto Datos (OKR´s)'!$G85)&gt;0,NOT($B85),OR(ISNUMBER('Proyecto Datos (OKR´s)'!$F85),ISNUMBER('Proyecto Datos (OKR´s)'!$L85)))</f>
      </c>
      <c r="D85" s="201">
        <f>IF($C85,IFERROR(LOOKUP(2,1/((ISTEXT('Proyecto Datos (OKR´s)'!$K$7:$K85))*(LEN('Proyecto Datos (OKR´s)'!$G$7:$G85)&gt;0)),'Proyecto Datos (OKR´s)'!$G$7:$G85),""),"")</f>
      </c>
      <c r="E85" s="200">
        <f>IF($C85,'Proyecto Datos (OKR´s)'!$E85,"")</f>
      </c>
      <c r="F85" s="201">
        <f>IF($C85,'Proyecto Datos (OKR´s)'!$G85,"")</f>
      </c>
      <c r="G85" s="201">
        <f>IF($C85,IF('Proyecto Datos (OKR´s)'!$I85="","(Sin asignar)",'Proyecto Datos (OKR´s)'!$I85),"")</f>
      </c>
      <c r="H85" s="200">
        <f>IF($C85,IF(ISNUMBER('Proyecto Datos (OKR´s)'!$F85),'Proyecto Datos (OKR´s)'!$F85,'Proyecto Datos (OKR´s)'!$L85),"")</f>
      </c>
      <c r="I85" s="200">
        <f>IF($C85,'Proyecto Datos (OKR´s)'!$J85,"")</f>
      </c>
      <c r="J85" s="201">
        <f>IF($C85,IF($I85&gt;=1,"Completado",IF($H85&lt;TODAY(),"Vencido",IF(($H85-TODAY())&lt;='Entregas Próximas'!$I$3,"Próximo a vencer","En curso"))),"")</f>
      </c>
      <c r="K85" s="200">
        <f>IF($C85,$H85-TODAY(),"")</f>
      </c>
      <c r="L85" s="200">
        <f>IF($C85,$N85*1000000+$H85+ROW()/100000,"")</f>
      </c>
      <c r="M85" s="200">
        <f>IF($C85,IF('Proyecto Datos (OKR´s)'!$E85="","(Sin sprint)",'Proyecto Datos (OKR´s)'!$E85),"")</f>
      </c>
      <c r="N85" s="200">
        <f>IF($C85,IF('Proyecto Datos (OKR´s)'!$E85="",9999,'Proyecto Datos (OKR´s)'!$E85),"")</f>
      </c>
    </row>
    <row r="86">
      <c r="A86" s="200">
        <f>ROW()</f>
      </c>
      <c r="B86" s="200">
        <f>ISTEXT('Proyecto Datos (OKR´s)'!$K86)</f>
      </c>
      <c r="C86" s="200">
        <f>AND(LEN('Proyecto Datos (OKR´s)'!$G86)&gt;0,NOT($B86),OR(ISNUMBER('Proyecto Datos (OKR´s)'!$F86),ISNUMBER('Proyecto Datos (OKR´s)'!$L86)))</f>
      </c>
      <c r="D86" s="201">
        <f>IF($C86,IFERROR(LOOKUP(2,1/((ISTEXT('Proyecto Datos (OKR´s)'!$K$7:$K86))*(LEN('Proyecto Datos (OKR´s)'!$G$7:$G86)&gt;0)),'Proyecto Datos (OKR´s)'!$G$7:$G86),""),"")</f>
      </c>
      <c r="E86" s="200">
        <f>IF($C86,'Proyecto Datos (OKR´s)'!$E86,"")</f>
      </c>
      <c r="F86" s="201">
        <f>IF($C86,'Proyecto Datos (OKR´s)'!$G86,"")</f>
      </c>
      <c r="G86" s="201">
        <f>IF($C86,IF('Proyecto Datos (OKR´s)'!$I86="","(Sin asignar)",'Proyecto Datos (OKR´s)'!$I86),"")</f>
      </c>
      <c r="H86" s="200">
        <f>IF($C86,IF(ISNUMBER('Proyecto Datos (OKR´s)'!$F86),'Proyecto Datos (OKR´s)'!$F86,'Proyecto Datos (OKR´s)'!$L86),"")</f>
      </c>
      <c r="I86" s="200">
        <f>IF($C86,'Proyecto Datos (OKR´s)'!$J86,"")</f>
      </c>
      <c r="J86" s="201">
        <f>IF($C86,IF($I86&gt;=1,"Completado",IF($H86&lt;TODAY(),"Vencido",IF(($H86-TODAY())&lt;='Entregas Próximas'!$I$3,"Próximo a vencer","En curso"))),"")</f>
      </c>
      <c r="K86" s="200">
        <f>IF($C86,$H86-TODAY(),"")</f>
      </c>
      <c r="L86" s="200">
        <f>IF($C86,$N86*1000000+$H86+ROW()/100000,"")</f>
      </c>
      <c r="M86" s="200">
        <f>IF($C86,IF('Proyecto Datos (OKR´s)'!$E86="","(Sin sprint)",'Proyecto Datos (OKR´s)'!$E86),"")</f>
      </c>
      <c r="N86" s="200">
        <f>IF($C86,IF('Proyecto Datos (OKR´s)'!$E86="",9999,'Proyecto Datos (OKR´s)'!$E86),"")</f>
      </c>
    </row>
    <row r="87">
      <c r="A87" s="200">
        <f>ROW()</f>
      </c>
      <c r="B87" s="200">
        <f>ISTEXT('Proyecto Datos (OKR´s)'!$K87)</f>
      </c>
      <c r="C87" s="200">
        <f>AND(LEN('Proyecto Datos (OKR´s)'!$G87)&gt;0,NOT($B87),OR(ISNUMBER('Proyecto Datos (OKR´s)'!$F87),ISNUMBER('Proyecto Datos (OKR´s)'!$L87)))</f>
      </c>
      <c r="D87" s="201">
        <f>IF($C87,IFERROR(LOOKUP(2,1/((ISTEXT('Proyecto Datos (OKR´s)'!$K$7:$K87))*(LEN('Proyecto Datos (OKR´s)'!$G$7:$G87)&gt;0)),'Proyecto Datos (OKR´s)'!$G$7:$G87),""),"")</f>
      </c>
      <c r="E87" s="200">
        <f>IF($C87,'Proyecto Datos (OKR´s)'!$E87,"")</f>
      </c>
      <c r="F87" s="201">
        <f>IF($C87,'Proyecto Datos (OKR´s)'!$G87,"")</f>
      </c>
      <c r="G87" s="201">
        <f>IF($C87,IF('Proyecto Datos (OKR´s)'!$I87="","(Sin asignar)",'Proyecto Datos (OKR´s)'!$I87),"")</f>
      </c>
      <c r="H87" s="200">
        <f>IF($C87,IF(ISNUMBER('Proyecto Datos (OKR´s)'!$F87),'Proyecto Datos (OKR´s)'!$F87,'Proyecto Datos (OKR´s)'!$L87),"")</f>
      </c>
      <c r="I87" s="200">
        <f>IF($C87,'Proyecto Datos (OKR´s)'!$J87,"")</f>
      </c>
      <c r="J87" s="201">
        <f>IF($C87,IF($I87&gt;=1,"Completado",IF($H87&lt;TODAY(),"Vencido",IF(($H87-TODAY())&lt;='Entregas Próximas'!$I$3,"Próximo a vencer","En curso"))),"")</f>
      </c>
      <c r="K87" s="200">
        <f>IF($C87,$H87-TODAY(),"")</f>
      </c>
      <c r="L87" s="200">
        <f>IF($C87,$N87*1000000+$H87+ROW()/100000,"")</f>
      </c>
      <c r="M87" s="200">
        <f>IF($C87,IF('Proyecto Datos (OKR´s)'!$E87="","(Sin sprint)",'Proyecto Datos (OKR´s)'!$E87),"")</f>
      </c>
      <c r="N87" s="200">
        <f>IF($C87,IF('Proyecto Datos (OKR´s)'!$E87="",9999,'Proyecto Datos (OKR´s)'!$E87),"")</f>
      </c>
    </row>
    <row r="88">
      <c r="A88" s="200">
        <f>ROW()</f>
      </c>
      <c r="B88" s="200">
        <f>ISTEXT('Proyecto Datos (OKR´s)'!$K88)</f>
      </c>
      <c r="C88" s="200">
        <f>AND(LEN('Proyecto Datos (OKR´s)'!$G88)&gt;0,NOT($B88),OR(ISNUMBER('Proyecto Datos (OKR´s)'!$F88),ISNUMBER('Proyecto Datos (OKR´s)'!$L88)))</f>
      </c>
      <c r="D88" s="201">
        <f>IF($C88,IFERROR(LOOKUP(2,1/((ISTEXT('Proyecto Datos (OKR´s)'!$K$7:$K88))*(LEN('Proyecto Datos (OKR´s)'!$G$7:$G88)&gt;0)),'Proyecto Datos (OKR´s)'!$G$7:$G88),""),"")</f>
      </c>
      <c r="E88" s="200">
        <f>IF($C88,'Proyecto Datos (OKR´s)'!$E88,"")</f>
      </c>
      <c r="F88" s="201">
        <f>IF($C88,'Proyecto Datos (OKR´s)'!$G88,"")</f>
      </c>
      <c r="G88" s="201">
        <f>IF($C88,IF('Proyecto Datos (OKR´s)'!$I88="","(Sin asignar)",'Proyecto Datos (OKR´s)'!$I88),"")</f>
      </c>
      <c r="H88" s="200">
        <f>IF($C88,IF(ISNUMBER('Proyecto Datos (OKR´s)'!$F88),'Proyecto Datos (OKR´s)'!$F88,'Proyecto Datos (OKR´s)'!$L88),"")</f>
      </c>
      <c r="I88" s="200">
        <f>IF($C88,'Proyecto Datos (OKR´s)'!$J88,"")</f>
      </c>
      <c r="J88" s="201">
        <f>IF($C88,IF($I88&gt;=1,"Completado",IF($H88&lt;TODAY(),"Vencido",IF(($H88-TODAY())&lt;='Entregas Próximas'!$I$3,"Próximo a vencer","En curso"))),"")</f>
      </c>
      <c r="K88" s="200">
        <f>IF($C88,$H88-TODAY(),"")</f>
      </c>
      <c r="L88" s="200">
        <f>IF($C88,$N88*1000000+$H88+ROW()/100000,"")</f>
      </c>
      <c r="M88" s="200">
        <f>IF($C88,IF('Proyecto Datos (OKR´s)'!$E88="","(Sin sprint)",'Proyecto Datos (OKR´s)'!$E88),"")</f>
      </c>
      <c r="N88" s="200">
        <f>IF($C88,IF('Proyecto Datos (OKR´s)'!$E88="",9999,'Proyecto Datos (OKR´s)'!$E88),"")</f>
      </c>
    </row>
    <row r="89">
      <c r="A89" s="200">
        <f>ROW()</f>
      </c>
      <c r="B89" s="200">
        <f>ISTEXT('Proyecto Datos (OKR´s)'!$K89)</f>
      </c>
      <c r="C89" s="200">
        <f>AND(LEN('Proyecto Datos (OKR´s)'!$G89)&gt;0,NOT($B89),OR(ISNUMBER('Proyecto Datos (OKR´s)'!$F89),ISNUMBER('Proyecto Datos (OKR´s)'!$L89)))</f>
      </c>
      <c r="D89" s="201">
        <f>IF($C89,IFERROR(LOOKUP(2,1/((ISTEXT('Proyecto Datos (OKR´s)'!$K$7:$K89))*(LEN('Proyecto Datos (OKR´s)'!$G$7:$G89)&gt;0)),'Proyecto Datos (OKR´s)'!$G$7:$G89),""),"")</f>
      </c>
      <c r="E89" s="200">
        <f>IF($C89,'Proyecto Datos (OKR´s)'!$E89,"")</f>
      </c>
      <c r="F89" s="201">
        <f>IF($C89,'Proyecto Datos (OKR´s)'!$G89,"")</f>
      </c>
      <c r="G89" s="201">
        <f>IF($C89,IF('Proyecto Datos (OKR´s)'!$I89="","(Sin asignar)",'Proyecto Datos (OKR´s)'!$I89),"")</f>
      </c>
      <c r="H89" s="200">
        <f>IF($C89,IF(ISNUMBER('Proyecto Datos (OKR´s)'!$F89),'Proyecto Datos (OKR´s)'!$F89,'Proyecto Datos (OKR´s)'!$L89),"")</f>
      </c>
      <c r="I89" s="200">
        <f>IF($C89,'Proyecto Datos (OKR´s)'!$J89,"")</f>
      </c>
      <c r="J89" s="201">
        <f>IF($C89,IF($I89&gt;=1,"Completado",IF($H89&lt;TODAY(),"Vencido",IF(($H89-TODAY())&lt;='Entregas Próximas'!$I$3,"Próximo a vencer","En curso"))),"")</f>
      </c>
      <c r="K89" s="200">
        <f>IF($C89,$H89-TODAY(),"")</f>
      </c>
      <c r="L89" s="200">
        <f>IF($C89,$N89*1000000+$H89+ROW()/100000,"")</f>
      </c>
      <c r="M89" s="200">
        <f>IF($C89,IF('Proyecto Datos (OKR´s)'!$E89="","(Sin sprint)",'Proyecto Datos (OKR´s)'!$E89),"")</f>
      </c>
      <c r="N89" s="200">
        <f>IF($C89,IF('Proyecto Datos (OKR´s)'!$E89="",9999,'Proyecto Datos (OKR´s)'!$E89),"")</f>
      </c>
    </row>
    <row r="90">
      <c r="A90" s="200">
        <f>ROW()</f>
      </c>
      <c r="B90" s="200">
        <f>ISTEXT('Proyecto Datos (OKR´s)'!$K90)</f>
      </c>
      <c r="C90" s="200">
        <f>AND(LEN('Proyecto Datos (OKR´s)'!$G90)&gt;0,NOT($B90),OR(ISNUMBER('Proyecto Datos (OKR´s)'!$F90),ISNUMBER('Proyecto Datos (OKR´s)'!$L90)))</f>
      </c>
      <c r="D90" s="201">
        <f>IF($C90,IFERROR(LOOKUP(2,1/((ISTEXT('Proyecto Datos (OKR´s)'!$K$7:$K90))*(LEN('Proyecto Datos (OKR´s)'!$G$7:$G90)&gt;0)),'Proyecto Datos (OKR´s)'!$G$7:$G90),""),"")</f>
      </c>
      <c r="E90" s="200">
        <f>IF($C90,'Proyecto Datos (OKR´s)'!$E90,"")</f>
      </c>
      <c r="F90" s="201">
        <f>IF($C90,'Proyecto Datos (OKR´s)'!$G90,"")</f>
      </c>
      <c r="G90" s="201">
        <f>IF($C90,IF('Proyecto Datos (OKR´s)'!$I90="","(Sin asignar)",'Proyecto Datos (OKR´s)'!$I90),"")</f>
      </c>
      <c r="H90" s="200">
        <f>IF($C90,IF(ISNUMBER('Proyecto Datos (OKR´s)'!$F90),'Proyecto Datos (OKR´s)'!$F90,'Proyecto Datos (OKR´s)'!$L90),"")</f>
      </c>
      <c r="I90" s="200">
        <f>IF($C90,'Proyecto Datos (OKR´s)'!$J90,"")</f>
      </c>
      <c r="J90" s="201">
        <f>IF($C90,IF($I90&gt;=1,"Completado",IF($H90&lt;TODAY(),"Vencido",IF(($H90-TODAY())&lt;='Entregas Próximas'!$I$3,"Próximo a vencer","En curso"))),"")</f>
      </c>
      <c r="K90" s="200">
        <f>IF($C90,$H90-TODAY(),"")</f>
      </c>
      <c r="L90" s="200">
        <f>IF($C90,$N90*1000000+$H90+ROW()/100000,"")</f>
      </c>
      <c r="M90" s="200">
        <f>IF($C90,IF('Proyecto Datos (OKR´s)'!$E90="","(Sin sprint)",'Proyecto Datos (OKR´s)'!$E90),"")</f>
      </c>
      <c r="N90" s="200">
        <f>IF($C90,IF('Proyecto Datos (OKR´s)'!$E90="",9999,'Proyecto Datos (OKR´s)'!$E90),"")</f>
      </c>
    </row>
    <row r="91">
      <c r="A91" s="200">
        <f>ROW()</f>
      </c>
      <c r="B91" s="200">
        <f>ISTEXT('Proyecto Datos (OKR´s)'!$K91)</f>
      </c>
      <c r="C91" s="200">
        <f>AND(LEN('Proyecto Datos (OKR´s)'!$G91)&gt;0,NOT($B91),OR(ISNUMBER('Proyecto Datos (OKR´s)'!$F91),ISNUMBER('Proyecto Datos (OKR´s)'!$L91)))</f>
      </c>
      <c r="D91" s="201">
        <f>IF($C91,IFERROR(LOOKUP(2,1/((ISTEXT('Proyecto Datos (OKR´s)'!$K$7:$K91))*(LEN('Proyecto Datos (OKR´s)'!$G$7:$G91)&gt;0)),'Proyecto Datos (OKR´s)'!$G$7:$G91),""),"")</f>
      </c>
      <c r="E91" s="200">
        <f>IF($C91,'Proyecto Datos (OKR´s)'!$E91,"")</f>
      </c>
      <c r="F91" s="201">
        <f>IF($C91,'Proyecto Datos (OKR´s)'!$G91,"")</f>
      </c>
      <c r="G91" s="201">
        <f>IF($C91,IF('Proyecto Datos (OKR´s)'!$I91="","(Sin asignar)",'Proyecto Datos (OKR´s)'!$I91),"")</f>
      </c>
      <c r="H91" s="200">
        <f>IF($C91,IF(ISNUMBER('Proyecto Datos (OKR´s)'!$F91),'Proyecto Datos (OKR´s)'!$F91,'Proyecto Datos (OKR´s)'!$L91),"")</f>
      </c>
      <c r="I91" s="200">
        <f>IF($C91,'Proyecto Datos (OKR´s)'!$J91,"")</f>
      </c>
      <c r="J91" s="201">
        <f>IF($C91,IF($I91&gt;=1,"Completado",IF($H91&lt;TODAY(),"Vencido",IF(($H91-TODAY())&lt;='Entregas Próximas'!$I$3,"Próximo a vencer","En curso"))),"")</f>
      </c>
      <c r="K91" s="200">
        <f>IF($C91,$H91-TODAY(),"")</f>
      </c>
      <c r="L91" s="200">
        <f>IF($C91,$N91*1000000+$H91+ROW()/100000,"")</f>
      </c>
      <c r="M91" s="200">
        <f>IF($C91,IF('Proyecto Datos (OKR´s)'!$E91="","(Sin sprint)",'Proyecto Datos (OKR´s)'!$E91),"")</f>
      </c>
      <c r="N91" s="200">
        <f>IF($C91,IF('Proyecto Datos (OKR´s)'!$E91="",9999,'Proyecto Datos (OKR´s)'!$E91),"")</f>
      </c>
    </row>
    <row r="92">
      <c r="A92" s="200">
        <f>ROW()</f>
      </c>
      <c r="B92" s="200">
        <f>ISTEXT('Proyecto Datos (OKR´s)'!$K92)</f>
      </c>
      <c r="C92" s="200">
        <f>AND(LEN('Proyecto Datos (OKR´s)'!$G92)&gt;0,NOT($B92),OR(ISNUMBER('Proyecto Datos (OKR´s)'!$F92),ISNUMBER('Proyecto Datos (OKR´s)'!$L92)))</f>
      </c>
      <c r="D92" s="201">
        <f>IF($C92,IFERROR(LOOKUP(2,1/((ISTEXT('Proyecto Datos (OKR´s)'!$K$7:$K92))*(LEN('Proyecto Datos (OKR´s)'!$G$7:$G92)&gt;0)),'Proyecto Datos (OKR´s)'!$G$7:$G92),""),"")</f>
      </c>
      <c r="E92" s="200">
        <f>IF($C92,'Proyecto Datos (OKR´s)'!$E92,"")</f>
      </c>
      <c r="F92" s="201">
        <f>IF($C92,'Proyecto Datos (OKR´s)'!$G92,"")</f>
      </c>
      <c r="G92" s="201">
        <f>IF($C92,IF('Proyecto Datos (OKR´s)'!$I92="","(Sin asignar)",'Proyecto Datos (OKR´s)'!$I92),"")</f>
      </c>
      <c r="H92" s="200">
        <f>IF($C92,IF(ISNUMBER('Proyecto Datos (OKR´s)'!$F92),'Proyecto Datos (OKR´s)'!$F92,'Proyecto Datos (OKR´s)'!$L92),"")</f>
      </c>
      <c r="I92" s="200">
        <f>IF($C92,'Proyecto Datos (OKR´s)'!$J92,"")</f>
      </c>
      <c r="J92" s="201">
        <f>IF($C92,IF($I92&gt;=1,"Completado",IF($H92&lt;TODAY(),"Vencido",IF(($H92-TODAY())&lt;='Entregas Próximas'!$I$3,"Próximo a vencer","En curso"))),"")</f>
      </c>
      <c r="K92" s="200">
        <f>IF($C92,$H92-TODAY(),"")</f>
      </c>
      <c r="L92" s="200">
        <f>IF($C92,$N92*1000000+$H92+ROW()/100000,"")</f>
      </c>
      <c r="M92" s="200">
        <f>IF($C92,IF('Proyecto Datos (OKR´s)'!$E92="","(Sin sprint)",'Proyecto Datos (OKR´s)'!$E92),"")</f>
      </c>
      <c r="N92" s="200">
        <f>IF($C92,IF('Proyecto Datos (OKR´s)'!$E92="",9999,'Proyecto Datos (OKR´s)'!$E92),"")</f>
      </c>
    </row>
    <row r="93">
      <c r="A93" s="200">
        <f>ROW()</f>
      </c>
      <c r="B93" s="200">
        <f>ISTEXT('Proyecto Datos (OKR´s)'!$K93)</f>
      </c>
      <c r="C93" s="200">
        <f>AND(LEN('Proyecto Datos (OKR´s)'!$G93)&gt;0,NOT($B93),OR(ISNUMBER('Proyecto Datos (OKR´s)'!$F93),ISNUMBER('Proyecto Datos (OKR´s)'!$L93)))</f>
      </c>
      <c r="D93" s="201">
        <f>IF($C93,IFERROR(LOOKUP(2,1/((ISTEXT('Proyecto Datos (OKR´s)'!$K$7:$K93))*(LEN('Proyecto Datos (OKR´s)'!$G$7:$G93)&gt;0)),'Proyecto Datos (OKR´s)'!$G$7:$G93),""),"")</f>
      </c>
      <c r="E93" s="200">
        <f>IF($C93,'Proyecto Datos (OKR´s)'!$E93,"")</f>
      </c>
      <c r="F93" s="201">
        <f>IF($C93,'Proyecto Datos (OKR´s)'!$G93,"")</f>
      </c>
      <c r="G93" s="201">
        <f>IF($C93,IF('Proyecto Datos (OKR´s)'!$I93="","(Sin asignar)",'Proyecto Datos (OKR´s)'!$I93),"")</f>
      </c>
      <c r="H93" s="200">
        <f>IF($C93,IF(ISNUMBER('Proyecto Datos (OKR´s)'!$F93),'Proyecto Datos (OKR´s)'!$F93,'Proyecto Datos (OKR´s)'!$L93),"")</f>
      </c>
      <c r="I93" s="200">
        <f>IF($C93,'Proyecto Datos (OKR´s)'!$J93,"")</f>
      </c>
      <c r="J93" s="201">
        <f>IF($C93,IF($I93&gt;=1,"Completado",IF($H93&lt;TODAY(),"Vencido",IF(($H93-TODAY())&lt;='Entregas Próximas'!$I$3,"Próximo a vencer","En curso"))),"")</f>
      </c>
      <c r="K93" s="200">
        <f>IF($C93,$H93-TODAY(),"")</f>
      </c>
      <c r="L93" s="200">
        <f>IF($C93,$N93*1000000+$H93+ROW()/100000,"")</f>
      </c>
      <c r="M93" s="200">
        <f>IF($C93,IF('Proyecto Datos (OKR´s)'!$E93="","(Sin sprint)",'Proyecto Datos (OKR´s)'!$E93),"")</f>
      </c>
      <c r="N93" s="200">
        <f>IF($C93,IF('Proyecto Datos (OKR´s)'!$E93="",9999,'Proyecto Datos (OKR´s)'!$E93),"")</f>
      </c>
    </row>
    <row r="94">
      <c r="A94" s="200">
        <f>ROW()</f>
      </c>
      <c r="B94" s="200">
        <f>ISTEXT('Proyecto Datos (OKR´s)'!$K94)</f>
      </c>
      <c r="C94" s="200">
        <f>AND(LEN('Proyecto Datos (OKR´s)'!$G94)&gt;0,NOT($B94),OR(ISNUMBER('Proyecto Datos (OKR´s)'!$F94),ISNUMBER('Proyecto Datos (OKR´s)'!$L94)))</f>
      </c>
      <c r="D94" s="201">
        <f>IF($C94,IFERROR(LOOKUP(2,1/((ISTEXT('Proyecto Datos (OKR´s)'!$K$7:$K94))*(LEN('Proyecto Datos (OKR´s)'!$G$7:$G94)&gt;0)),'Proyecto Datos (OKR´s)'!$G$7:$G94),""),"")</f>
      </c>
      <c r="E94" s="200">
        <f>IF($C94,'Proyecto Datos (OKR´s)'!$E94,"")</f>
      </c>
      <c r="F94" s="201">
        <f>IF($C94,'Proyecto Datos (OKR´s)'!$G94,"")</f>
      </c>
      <c r="G94" s="201">
        <f>IF($C94,IF('Proyecto Datos (OKR´s)'!$I94="","(Sin asignar)",'Proyecto Datos (OKR´s)'!$I94),"")</f>
      </c>
      <c r="H94" s="200">
        <f>IF($C94,IF(ISNUMBER('Proyecto Datos (OKR´s)'!$F94),'Proyecto Datos (OKR´s)'!$F94,'Proyecto Datos (OKR´s)'!$L94),"")</f>
      </c>
      <c r="I94" s="200">
        <f>IF($C94,'Proyecto Datos (OKR´s)'!$J94,"")</f>
      </c>
      <c r="J94" s="201">
        <f>IF($C94,IF($I94&gt;=1,"Completado",IF($H94&lt;TODAY(),"Vencido",IF(($H94-TODAY())&lt;='Entregas Próximas'!$I$3,"Próximo a vencer","En curso"))),"")</f>
      </c>
      <c r="K94" s="200">
        <f>IF($C94,$H94-TODAY(),"")</f>
      </c>
      <c r="L94" s="200">
        <f>IF($C94,$N94*1000000+$H94+ROW()/100000,"")</f>
      </c>
      <c r="M94" s="200">
        <f>IF($C94,IF('Proyecto Datos (OKR´s)'!$E94="","(Sin sprint)",'Proyecto Datos (OKR´s)'!$E94),"")</f>
      </c>
      <c r="N94" s="200">
        <f>IF($C94,IF('Proyecto Datos (OKR´s)'!$E94="",9999,'Proyecto Datos (OKR´s)'!$E94),"")</f>
      </c>
    </row>
    <row r="95">
      <c r="A95" s="200">
        <f>ROW()</f>
      </c>
      <c r="B95" s="200">
        <f>ISTEXT('Proyecto Datos (OKR´s)'!$K95)</f>
      </c>
      <c r="C95" s="200">
        <f>AND(LEN('Proyecto Datos (OKR´s)'!$G95)&gt;0,NOT($B95),OR(ISNUMBER('Proyecto Datos (OKR´s)'!$F95),ISNUMBER('Proyecto Datos (OKR´s)'!$L95)))</f>
      </c>
      <c r="D95" s="201">
        <f>IF($C95,IFERROR(LOOKUP(2,1/((ISTEXT('Proyecto Datos (OKR´s)'!$K$7:$K95))*(LEN('Proyecto Datos (OKR´s)'!$G$7:$G95)&gt;0)),'Proyecto Datos (OKR´s)'!$G$7:$G95),""),"")</f>
      </c>
      <c r="E95" s="200">
        <f>IF($C95,'Proyecto Datos (OKR´s)'!$E95,"")</f>
      </c>
      <c r="F95" s="201">
        <f>IF($C95,'Proyecto Datos (OKR´s)'!$G95,"")</f>
      </c>
      <c r="G95" s="201">
        <f>IF($C95,IF('Proyecto Datos (OKR´s)'!$I95="","(Sin asignar)",'Proyecto Datos (OKR´s)'!$I95),"")</f>
      </c>
      <c r="H95" s="200">
        <f>IF($C95,IF(ISNUMBER('Proyecto Datos (OKR´s)'!$F95),'Proyecto Datos (OKR´s)'!$F95,'Proyecto Datos (OKR´s)'!$L95),"")</f>
      </c>
      <c r="I95" s="200">
        <f>IF($C95,'Proyecto Datos (OKR´s)'!$J95,"")</f>
      </c>
      <c r="J95" s="201">
        <f>IF($C95,IF($I95&gt;=1,"Completado",IF($H95&lt;TODAY(),"Vencido",IF(($H95-TODAY())&lt;='Entregas Próximas'!$I$3,"Próximo a vencer","En curso"))),"")</f>
      </c>
      <c r="K95" s="200">
        <f>IF($C95,$H95-TODAY(),"")</f>
      </c>
      <c r="L95" s="200">
        <f>IF($C95,$N95*1000000+$H95+ROW()/100000,"")</f>
      </c>
      <c r="M95" s="200">
        <f>IF($C95,IF('Proyecto Datos (OKR´s)'!$E95="","(Sin sprint)",'Proyecto Datos (OKR´s)'!$E95),"")</f>
      </c>
      <c r="N95" s="200">
        <f>IF($C95,IF('Proyecto Datos (OKR´s)'!$E95="",9999,'Proyecto Datos (OKR´s)'!$E95),"")</f>
      </c>
    </row>
    <row r="96">
      <c r="A96" s="200">
        <f>ROW()</f>
      </c>
      <c r="B96" s="200">
        <f>ISTEXT('Proyecto Datos (OKR´s)'!$K96)</f>
      </c>
      <c r="C96" s="200">
        <f>AND(LEN('Proyecto Datos (OKR´s)'!$G96)&gt;0,NOT($B96),OR(ISNUMBER('Proyecto Datos (OKR´s)'!$F96),ISNUMBER('Proyecto Datos (OKR´s)'!$L96)))</f>
      </c>
      <c r="D96" s="201">
        <f>IF($C96,IFERROR(LOOKUP(2,1/((ISTEXT('Proyecto Datos (OKR´s)'!$K$7:$K96))*(LEN('Proyecto Datos (OKR´s)'!$G$7:$G96)&gt;0)),'Proyecto Datos (OKR´s)'!$G$7:$G96),""),"")</f>
      </c>
      <c r="E96" s="200">
        <f>IF($C96,'Proyecto Datos (OKR´s)'!$E96,"")</f>
      </c>
      <c r="F96" s="201">
        <f>IF($C96,'Proyecto Datos (OKR´s)'!$G96,"")</f>
      </c>
      <c r="G96" s="201">
        <f>IF($C96,IF('Proyecto Datos (OKR´s)'!$I96="","(Sin asignar)",'Proyecto Datos (OKR´s)'!$I96),"")</f>
      </c>
      <c r="H96" s="200">
        <f>IF($C96,IF(ISNUMBER('Proyecto Datos (OKR´s)'!$F96),'Proyecto Datos (OKR´s)'!$F96,'Proyecto Datos (OKR´s)'!$L96),"")</f>
      </c>
      <c r="I96" s="200">
        <f>IF($C96,'Proyecto Datos (OKR´s)'!$J96,"")</f>
      </c>
      <c r="J96" s="201">
        <f>IF($C96,IF($I96&gt;=1,"Completado",IF($H96&lt;TODAY(),"Vencido",IF(($H96-TODAY())&lt;='Entregas Próximas'!$I$3,"Próximo a vencer","En curso"))),"")</f>
      </c>
      <c r="K96" s="200">
        <f>IF($C96,$H96-TODAY(),"")</f>
      </c>
      <c r="L96" s="200">
        <f>IF($C96,$N96*1000000+$H96+ROW()/100000,"")</f>
      </c>
      <c r="M96" s="200">
        <f>IF($C96,IF('Proyecto Datos (OKR´s)'!$E96="","(Sin sprint)",'Proyecto Datos (OKR´s)'!$E96),"")</f>
      </c>
      <c r="N96" s="200">
        <f>IF($C96,IF('Proyecto Datos (OKR´s)'!$E96="",9999,'Proyecto Datos (OKR´s)'!$E96),"")</f>
      </c>
    </row>
    <row r="97">
      <c r="A97" s="200">
        <f>ROW()</f>
      </c>
      <c r="B97" s="200">
        <f>ISTEXT('Proyecto Datos (OKR´s)'!$K97)</f>
      </c>
      <c r="C97" s="200">
        <f>AND(LEN('Proyecto Datos (OKR´s)'!$G97)&gt;0,NOT($B97),OR(ISNUMBER('Proyecto Datos (OKR´s)'!$F97),ISNUMBER('Proyecto Datos (OKR´s)'!$L97)))</f>
      </c>
      <c r="D97" s="201">
        <f>IF($C97,IFERROR(LOOKUP(2,1/((ISTEXT('Proyecto Datos (OKR´s)'!$K$7:$K97))*(LEN('Proyecto Datos (OKR´s)'!$G$7:$G97)&gt;0)),'Proyecto Datos (OKR´s)'!$G$7:$G97),""),"")</f>
      </c>
      <c r="E97" s="200">
        <f>IF($C97,'Proyecto Datos (OKR´s)'!$E97,"")</f>
      </c>
      <c r="F97" s="201">
        <f>IF($C97,'Proyecto Datos (OKR´s)'!$G97,"")</f>
      </c>
      <c r="G97" s="201">
        <f>IF($C97,IF('Proyecto Datos (OKR´s)'!$I97="","(Sin asignar)",'Proyecto Datos (OKR´s)'!$I97),"")</f>
      </c>
      <c r="H97" s="200">
        <f>IF($C97,IF(ISNUMBER('Proyecto Datos (OKR´s)'!$F97),'Proyecto Datos (OKR´s)'!$F97,'Proyecto Datos (OKR´s)'!$L97),"")</f>
      </c>
      <c r="I97" s="200">
        <f>IF($C97,'Proyecto Datos (OKR´s)'!$J97,"")</f>
      </c>
      <c r="J97" s="201">
        <f>IF($C97,IF($I97&gt;=1,"Completado",IF($H97&lt;TODAY(),"Vencido",IF(($H97-TODAY())&lt;='Entregas Próximas'!$I$3,"Próximo a vencer","En curso"))),"")</f>
      </c>
      <c r="K97" s="200">
        <f>IF($C97,$H97-TODAY(),"")</f>
      </c>
      <c r="L97" s="200">
        <f>IF($C97,$N97*1000000+$H97+ROW()/100000,"")</f>
      </c>
      <c r="M97" s="200">
        <f>IF($C97,IF('Proyecto Datos (OKR´s)'!$E97="","(Sin sprint)",'Proyecto Datos (OKR´s)'!$E97),"")</f>
      </c>
      <c r="N97" s="200">
        <f>IF($C97,IF('Proyecto Datos (OKR´s)'!$E97="",9999,'Proyecto Datos (OKR´s)'!$E97),"")</f>
      </c>
    </row>
    <row r="98">
      <c r="A98" s="200">
        <f>ROW()</f>
      </c>
      <c r="B98" s="200">
        <f>ISTEXT('Proyecto Datos (OKR´s)'!$K98)</f>
      </c>
      <c r="C98" s="200">
        <f>AND(LEN('Proyecto Datos (OKR´s)'!$G98)&gt;0,NOT($B98),OR(ISNUMBER('Proyecto Datos (OKR´s)'!$F98),ISNUMBER('Proyecto Datos (OKR´s)'!$L98)))</f>
      </c>
      <c r="D98" s="201">
        <f>IF($C98,IFERROR(LOOKUP(2,1/((ISTEXT('Proyecto Datos (OKR´s)'!$K$7:$K98))*(LEN('Proyecto Datos (OKR´s)'!$G$7:$G98)&gt;0)),'Proyecto Datos (OKR´s)'!$G$7:$G98),""),"")</f>
      </c>
      <c r="E98" s="200">
        <f>IF($C98,'Proyecto Datos (OKR´s)'!$E98,"")</f>
      </c>
      <c r="F98" s="201">
        <f>IF($C98,'Proyecto Datos (OKR´s)'!$G98,"")</f>
      </c>
      <c r="G98" s="201">
        <f>IF($C98,IF('Proyecto Datos (OKR´s)'!$I98="","(Sin asignar)",'Proyecto Datos (OKR´s)'!$I98),"")</f>
      </c>
      <c r="H98" s="200">
        <f>IF($C98,IF(ISNUMBER('Proyecto Datos (OKR´s)'!$F98),'Proyecto Datos (OKR´s)'!$F98,'Proyecto Datos (OKR´s)'!$L98),"")</f>
      </c>
      <c r="I98" s="200">
        <f>IF($C98,'Proyecto Datos (OKR´s)'!$J98,"")</f>
      </c>
      <c r="J98" s="201">
        <f>IF($C98,IF($I98&gt;=1,"Completado",IF($H98&lt;TODAY(),"Vencido",IF(($H98-TODAY())&lt;='Entregas Próximas'!$I$3,"Próximo a vencer","En curso"))),"")</f>
      </c>
      <c r="K98" s="200">
        <f>IF($C98,$H98-TODAY(),"")</f>
      </c>
      <c r="L98" s="200">
        <f>IF($C98,$N98*1000000+$H98+ROW()/100000,"")</f>
      </c>
      <c r="M98" s="200">
        <f>IF($C98,IF('Proyecto Datos (OKR´s)'!$E98="","(Sin sprint)",'Proyecto Datos (OKR´s)'!$E98),"")</f>
      </c>
      <c r="N98" s="200">
        <f>IF($C98,IF('Proyecto Datos (OKR´s)'!$E98="",9999,'Proyecto Datos (OKR´s)'!$E98),"")</f>
      </c>
    </row>
    <row r="99">
      <c r="A99" s="200">
        <f>ROW()</f>
      </c>
      <c r="B99" s="200">
        <f>ISTEXT('Proyecto Datos (OKR´s)'!$K99)</f>
      </c>
      <c r="C99" s="200">
        <f>AND(LEN('Proyecto Datos (OKR´s)'!$G99)&gt;0,NOT($B99),OR(ISNUMBER('Proyecto Datos (OKR´s)'!$F99),ISNUMBER('Proyecto Datos (OKR´s)'!$L99)))</f>
      </c>
      <c r="D99" s="201">
        <f>IF($C99,IFERROR(LOOKUP(2,1/((ISTEXT('Proyecto Datos (OKR´s)'!$K$7:$K99))*(LEN('Proyecto Datos (OKR´s)'!$G$7:$G99)&gt;0)),'Proyecto Datos (OKR´s)'!$G$7:$G99),""),"")</f>
      </c>
      <c r="E99" s="200">
        <f>IF($C99,'Proyecto Datos (OKR´s)'!$E99,"")</f>
      </c>
      <c r="F99" s="201">
        <f>IF($C99,'Proyecto Datos (OKR´s)'!$G99,"")</f>
      </c>
      <c r="G99" s="201">
        <f>IF($C99,IF('Proyecto Datos (OKR´s)'!$I99="","(Sin asignar)",'Proyecto Datos (OKR´s)'!$I99),"")</f>
      </c>
      <c r="H99" s="200">
        <f>IF($C99,IF(ISNUMBER('Proyecto Datos (OKR´s)'!$F99),'Proyecto Datos (OKR´s)'!$F99,'Proyecto Datos (OKR´s)'!$L99),"")</f>
      </c>
      <c r="I99" s="200">
        <f>IF($C99,'Proyecto Datos (OKR´s)'!$J99,"")</f>
      </c>
      <c r="J99" s="201">
        <f>IF($C99,IF($I99&gt;=1,"Completado",IF($H99&lt;TODAY(),"Vencido",IF(($H99-TODAY())&lt;='Entregas Próximas'!$I$3,"Próximo a vencer","En curso"))),"")</f>
      </c>
      <c r="K99" s="200">
        <f>IF($C99,$H99-TODAY(),"")</f>
      </c>
      <c r="L99" s="200">
        <f>IF($C99,$N99*1000000+$H99+ROW()/100000,"")</f>
      </c>
      <c r="M99" s="200">
        <f>IF($C99,IF('Proyecto Datos (OKR´s)'!$E99="","(Sin sprint)",'Proyecto Datos (OKR´s)'!$E99),"")</f>
      </c>
      <c r="N99" s="200">
        <f>IF($C99,IF('Proyecto Datos (OKR´s)'!$E99="",9999,'Proyecto Datos (OKR´s)'!$E99),"")</f>
      </c>
    </row>
    <row r="100">
      <c r="A100" s="200">
        <f>ROW()</f>
      </c>
      <c r="B100" s="200">
        <f>ISTEXT('Proyecto Datos (OKR´s)'!$K100)</f>
      </c>
      <c r="C100" s="200">
        <f>AND(LEN('Proyecto Datos (OKR´s)'!$G100)&gt;0,NOT($B100),OR(ISNUMBER('Proyecto Datos (OKR´s)'!$F100),ISNUMBER('Proyecto Datos (OKR´s)'!$L100)))</f>
      </c>
      <c r="D100" s="201">
        <f>IF($C100,IFERROR(LOOKUP(2,1/((ISTEXT('Proyecto Datos (OKR´s)'!$K$7:$K100))*(LEN('Proyecto Datos (OKR´s)'!$G$7:$G100)&gt;0)),'Proyecto Datos (OKR´s)'!$G$7:$G100),""),"")</f>
      </c>
      <c r="E100" s="200">
        <f>IF($C100,'Proyecto Datos (OKR´s)'!$E100,"")</f>
      </c>
      <c r="F100" s="201">
        <f>IF($C100,'Proyecto Datos (OKR´s)'!$G100,"")</f>
      </c>
      <c r="G100" s="201">
        <f>IF($C100,IF('Proyecto Datos (OKR´s)'!$I100="","(Sin asignar)",'Proyecto Datos (OKR´s)'!$I100),"")</f>
      </c>
      <c r="H100" s="200">
        <f>IF($C100,IF(ISNUMBER('Proyecto Datos (OKR´s)'!$F100),'Proyecto Datos (OKR´s)'!$F100,'Proyecto Datos (OKR´s)'!$L100),"")</f>
      </c>
      <c r="I100" s="200">
        <f>IF($C100,'Proyecto Datos (OKR´s)'!$J100,"")</f>
      </c>
      <c r="J100" s="201">
        <f>IF($C100,IF($I100&gt;=1,"Completado",IF($H100&lt;TODAY(),"Vencido",IF(($H100-TODAY())&lt;='Entregas Próximas'!$I$3,"Próximo a vencer","En curso"))),"")</f>
      </c>
      <c r="K100" s="200">
        <f>IF($C100,$H100-TODAY(),"")</f>
      </c>
      <c r="L100" s="200">
        <f>IF($C100,$N100*1000000+$H100+ROW()/100000,"")</f>
      </c>
      <c r="M100" s="200">
        <f>IF($C100,IF('Proyecto Datos (OKR´s)'!$E100="","(Sin sprint)",'Proyecto Datos (OKR´s)'!$E100),"")</f>
      </c>
      <c r="N100" s="200">
        <f>IF($C100,IF('Proyecto Datos (OKR´s)'!$E100="",9999,'Proyecto Datos (OKR´s)'!$E100),"")</f>
      </c>
    </row>
    <row r="101">
      <c r="A101" s="200">
        <f>ROW()</f>
      </c>
      <c r="B101" s="200">
        <f>ISTEXT('Proyecto Datos (OKR´s)'!$K101)</f>
      </c>
      <c r="C101" s="200">
        <f>AND(LEN('Proyecto Datos (OKR´s)'!$G101)&gt;0,NOT($B101),OR(ISNUMBER('Proyecto Datos (OKR´s)'!$F101),ISNUMBER('Proyecto Datos (OKR´s)'!$L101)))</f>
      </c>
      <c r="D101" s="201">
        <f>IF($C101,IFERROR(LOOKUP(2,1/((ISTEXT('Proyecto Datos (OKR´s)'!$K$7:$K101))*(LEN('Proyecto Datos (OKR´s)'!$G$7:$G101)&gt;0)),'Proyecto Datos (OKR´s)'!$G$7:$G101),""),"")</f>
      </c>
      <c r="E101" s="200">
        <f>IF($C101,'Proyecto Datos (OKR´s)'!$E101,"")</f>
      </c>
      <c r="F101" s="201">
        <f>IF($C101,'Proyecto Datos (OKR´s)'!$G101,"")</f>
      </c>
      <c r="G101" s="201">
        <f>IF($C101,IF('Proyecto Datos (OKR´s)'!$I101="","(Sin asignar)",'Proyecto Datos (OKR´s)'!$I101),"")</f>
      </c>
      <c r="H101" s="200">
        <f>IF($C101,IF(ISNUMBER('Proyecto Datos (OKR´s)'!$F101),'Proyecto Datos (OKR´s)'!$F101,'Proyecto Datos (OKR´s)'!$L101),"")</f>
      </c>
      <c r="I101" s="200">
        <f>IF($C101,'Proyecto Datos (OKR´s)'!$J101,"")</f>
      </c>
      <c r="J101" s="201">
        <f>IF($C101,IF($I101&gt;=1,"Completado",IF($H101&lt;TODAY(),"Vencido",IF(($H101-TODAY())&lt;='Entregas Próximas'!$I$3,"Próximo a vencer","En curso"))),"")</f>
      </c>
      <c r="K101" s="200">
        <f>IF($C101,$H101-TODAY(),"")</f>
      </c>
      <c r="L101" s="200">
        <f>IF($C101,$N101*1000000+$H101+ROW()/100000,"")</f>
      </c>
      <c r="M101" s="200">
        <f>IF($C101,IF('Proyecto Datos (OKR´s)'!$E101="","(Sin sprint)",'Proyecto Datos (OKR´s)'!$E101),"")</f>
      </c>
      <c r="N101" s="200">
        <f>IF($C101,IF('Proyecto Datos (OKR´s)'!$E101="",9999,'Proyecto Datos (OKR´s)'!$E101),"")</f>
      </c>
    </row>
    <row r="102">
      <c r="A102" s="200">
        <f>ROW()</f>
      </c>
      <c r="B102" s="200">
        <f>ISTEXT('Proyecto Datos (OKR´s)'!$K102)</f>
      </c>
      <c r="C102" s="200">
        <f>AND(LEN('Proyecto Datos (OKR´s)'!$G102)&gt;0,NOT($B102),OR(ISNUMBER('Proyecto Datos (OKR´s)'!$F102),ISNUMBER('Proyecto Datos (OKR´s)'!$L102)))</f>
      </c>
      <c r="D102" s="201">
        <f>IF($C102,IFERROR(LOOKUP(2,1/((ISTEXT('Proyecto Datos (OKR´s)'!$K$7:$K102))*(LEN('Proyecto Datos (OKR´s)'!$G$7:$G102)&gt;0)),'Proyecto Datos (OKR´s)'!$G$7:$G102),""),"")</f>
      </c>
      <c r="E102" s="200">
        <f>IF($C102,'Proyecto Datos (OKR´s)'!$E102,"")</f>
      </c>
      <c r="F102" s="201">
        <f>IF($C102,'Proyecto Datos (OKR´s)'!$G102,"")</f>
      </c>
      <c r="G102" s="201">
        <f>IF($C102,IF('Proyecto Datos (OKR´s)'!$I102="","(Sin asignar)",'Proyecto Datos (OKR´s)'!$I102),"")</f>
      </c>
      <c r="H102" s="200">
        <f>IF($C102,IF(ISNUMBER('Proyecto Datos (OKR´s)'!$F102),'Proyecto Datos (OKR´s)'!$F102,'Proyecto Datos (OKR´s)'!$L102),"")</f>
      </c>
      <c r="I102" s="200">
        <f>IF($C102,'Proyecto Datos (OKR´s)'!$J102,"")</f>
      </c>
      <c r="J102" s="201">
        <f>IF($C102,IF($I102&gt;=1,"Completado",IF($H102&lt;TODAY(),"Vencido",IF(($H102-TODAY())&lt;='Entregas Próximas'!$I$3,"Próximo a vencer","En curso"))),"")</f>
      </c>
      <c r="K102" s="200">
        <f>IF($C102,$H102-TODAY(),"")</f>
      </c>
      <c r="L102" s="200">
        <f>IF($C102,$N102*1000000+$H102+ROW()/100000,"")</f>
      </c>
      <c r="M102" s="200">
        <f>IF($C102,IF('Proyecto Datos (OKR´s)'!$E102="","(Sin sprint)",'Proyecto Datos (OKR´s)'!$E102),"")</f>
      </c>
      <c r="N102" s="200">
        <f>IF($C102,IF('Proyecto Datos (OKR´s)'!$E102="",9999,'Proyecto Datos (OKR´s)'!$E102),"")</f>
      </c>
    </row>
    <row r="103">
      <c r="A103" s="200">
        <f>ROW()</f>
      </c>
      <c r="B103" s="200">
        <f>ISTEXT('Proyecto Datos (OKR´s)'!$K103)</f>
      </c>
      <c r="C103" s="200">
        <f>AND(LEN('Proyecto Datos (OKR´s)'!$G103)&gt;0,NOT($B103),OR(ISNUMBER('Proyecto Datos (OKR´s)'!$F103),ISNUMBER('Proyecto Datos (OKR´s)'!$L103)))</f>
      </c>
      <c r="D103" s="201">
        <f>IF($C103,IFERROR(LOOKUP(2,1/((ISTEXT('Proyecto Datos (OKR´s)'!$K$7:$K103))*(LEN('Proyecto Datos (OKR´s)'!$G$7:$G103)&gt;0)),'Proyecto Datos (OKR´s)'!$G$7:$G103),""),"")</f>
      </c>
      <c r="E103" s="200">
        <f>IF($C103,'Proyecto Datos (OKR´s)'!$E103,"")</f>
      </c>
      <c r="F103" s="201">
        <f>IF($C103,'Proyecto Datos (OKR´s)'!$G103,"")</f>
      </c>
      <c r="G103" s="201">
        <f>IF($C103,IF('Proyecto Datos (OKR´s)'!$I103="","(Sin asignar)",'Proyecto Datos (OKR´s)'!$I103),"")</f>
      </c>
      <c r="H103" s="200">
        <f>IF($C103,IF(ISNUMBER('Proyecto Datos (OKR´s)'!$F103),'Proyecto Datos (OKR´s)'!$F103,'Proyecto Datos (OKR´s)'!$L103),"")</f>
      </c>
      <c r="I103" s="200">
        <f>IF($C103,'Proyecto Datos (OKR´s)'!$J103,"")</f>
      </c>
      <c r="J103" s="201">
        <f>IF($C103,IF($I103&gt;=1,"Completado",IF($H103&lt;TODAY(),"Vencido",IF(($H103-TODAY())&lt;='Entregas Próximas'!$I$3,"Próximo a vencer","En curso"))),"")</f>
      </c>
      <c r="K103" s="200">
        <f>IF($C103,$H103-TODAY(),"")</f>
      </c>
      <c r="L103" s="200">
        <f>IF($C103,$N103*1000000+$H103+ROW()/100000,"")</f>
      </c>
      <c r="M103" s="200">
        <f>IF($C103,IF('Proyecto Datos (OKR´s)'!$E103="","(Sin sprint)",'Proyecto Datos (OKR´s)'!$E103),"")</f>
      </c>
      <c r="N103" s="200">
        <f>IF($C103,IF('Proyecto Datos (OKR´s)'!$E103="",9999,'Proyecto Datos (OKR´s)'!$E103),"")</f>
      </c>
    </row>
    <row r="104">
      <c r="A104" s="200">
        <f>ROW()</f>
      </c>
      <c r="B104" s="200">
        <f>ISTEXT('Proyecto Datos (OKR´s)'!$K104)</f>
      </c>
      <c r="C104" s="200">
        <f>AND(LEN('Proyecto Datos (OKR´s)'!$G104)&gt;0,NOT($B104),OR(ISNUMBER('Proyecto Datos (OKR´s)'!$F104),ISNUMBER('Proyecto Datos (OKR´s)'!$L104)))</f>
      </c>
      <c r="D104" s="201">
        <f>IF($C104,IFERROR(LOOKUP(2,1/((ISTEXT('Proyecto Datos (OKR´s)'!$K$7:$K104))*(LEN('Proyecto Datos (OKR´s)'!$G$7:$G104)&gt;0)),'Proyecto Datos (OKR´s)'!$G$7:$G104),""),"")</f>
      </c>
      <c r="E104" s="200">
        <f>IF($C104,'Proyecto Datos (OKR´s)'!$E104,"")</f>
      </c>
      <c r="F104" s="201">
        <f>IF($C104,'Proyecto Datos (OKR´s)'!$G104,"")</f>
      </c>
      <c r="G104" s="201">
        <f>IF($C104,IF('Proyecto Datos (OKR´s)'!$I104="","(Sin asignar)",'Proyecto Datos (OKR´s)'!$I104),"")</f>
      </c>
      <c r="H104" s="200">
        <f>IF($C104,IF(ISNUMBER('Proyecto Datos (OKR´s)'!$F104),'Proyecto Datos (OKR´s)'!$F104,'Proyecto Datos (OKR´s)'!$L104),"")</f>
      </c>
      <c r="I104" s="200">
        <f>IF($C104,'Proyecto Datos (OKR´s)'!$J104,"")</f>
      </c>
      <c r="J104" s="201">
        <f>IF($C104,IF($I104&gt;=1,"Completado",IF($H104&lt;TODAY(),"Vencido",IF(($H104-TODAY())&lt;='Entregas Próximas'!$I$3,"Próximo a vencer","En curso"))),"")</f>
      </c>
      <c r="K104" s="200">
        <f>IF($C104,$H104-TODAY(),"")</f>
      </c>
      <c r="L104" s="200">
        <f>IF($C104,$N104*1000000+$H104+ROW()/100000,"")</f>
      </c>
      <c r="M104" s="200">
        <f>IF($C104,IF('Proyecto Datos (OKR´s)'!$E104="","(Sin sprint)",'Proyecto Datos (OKR´s)'!$E104),"")</f>
      </c>
      <c r="N104" s="200">
        <f>IF($C104,IF('Proyecto Datos (OKR´s)'!$E104="",9999,'Proyecto Datos (OKR´s)'!$E104),"")</f>
      </c>
    </row>
    <row r="105">
      <c r="A105" s="200">
        <f>ROW()</f>
      </c>
      <c r="B105" s="200">
        <f>ISTEXT('Proyecto Datos (OKR´s)'!$K105)</f>
      </c>
      <c r="C105" s="200">
        <f>AND(LEN('Proyecto Datos (OKR´s)'!$G105)&gt;0,NOT($B105),OR(ISNUMBER('Proyecto Datos (OKR´s)'!$F105),ISNUMBER('Proyecto Datos (OKR´s)'!$L105)))</f>
      </c>
      <c r="D105" s="201">
        <f>IF($C105,IFERROR(LOOKUP(2,1/((ISTEXT('Proyecto Datos (OKR´s)'!$K$7:$K105))*(LEN('Proyecto Datos (OKR´s)'!$G$7:$G105)&gt;0)),'Proyecto Datos (OKR´s)'!$G$7:$G105),""),"")</f>
      </c>
      <c r="E105" s="200">
        <f>IF($C105,'Proyecto Datos (OKR´s)'!$E105,"")</f>
      </c>
      <c r="F105" s="201">
        <f>IF($C105,'Proyecto Datos (OKR´s)'!$G105,"")</f>
      </c>
      <c r="G105" s="201">
        <f>IF($C105,IF('Proyecto Datos (OKR´s)'!$I105="","(Sin asignar)",'Proyecto Datos (OKR´s)'!$I105),"")</f>
      </c>
      <c r="H105" s="200">
        <f>IF($C105,IF(ISNUMBER('Proyecto Datos (OKR´s)'!$F105),'Proyecto Datos (OKR´s)'!$F105,'Proyecto Datos (OKR´s)'!$L105),"")</f>
      </c>
      <c r="I105" s="200">
        <f>IF($C105,'Proyecto Datos (OKR´s)'!$J105,"")</f>
      </c>
      <c r="J105" s="201">
        <f>IF($C105,IF($I105&gt;=1,"Completado",IF($H105&lt;TODAY(),"Vencido",IF(($H105-TODAY())&lt;='Entregas Próximas'!$I$3,"Próximo a vencer","En curso"))),"")</f>
      </c>
      <c r="K105" s="200">
        <f>IF($C105,$H105-TODAY(),"")</f>
      </c>
      <c r="L105" s="200">
        <f>IF($C105,$N105*1000000+$H105+ROW()/100000,"")</f>
      </c>
      <c r="M105" s="200">
        <f>IF($C105,IF('Proyecto Datos (OKR´s)'!$E105="","(Sin sprint)",'Proyecto Datos (OKR´s)'!$E105),"")</f>
      </c>
      <c r="N105" s="200">
        <f>IF($C105,IF('Proyecto Datos (OKR´s)'!$E105="",9999,'Proyecto Datos (OKR´s)'!$E105),"")</f>
      </c>
    </row>
    <row r="106">
      <c r="A106" s="200">
        <f>ROW()</f>
      </c>
      <c r="B106" s="200">
        <f>ISTEXT('Proyecto Datos (OKR´s)'!$K106)</f>
      </c>
      <c r="C106" s="200">
        <f>AND(LEN('Proyecto Datos (OKR´s)'!$G106)&gt;0,NOT($B106),OR(ISNUMBER('Proyecto Datos (OKR´s)'!$F106),ISNUMBER('Proyecto Datos (OKR´s)'!$L106)))</f>
      </c>
      <c r="D106" s="201">
        <f>IF($C106,IFERROR(LOOKUP(2,1/((ISTEXT('Proyecto Datos (OKR´s)'!$K$7:$K106))*(LEN('Proyecto Datos (OKR´s)'!$G$7:$G106)&gt;0)),'Proyecto Datos (OKR´s)'!$G$7:$G106),""),"")</f>
      </c>
      <c r="E106" s="200">
        <f>IF($C106,'Proyecto Datos (OKR´s)'!$E106,"")</f>
      </c>
      <c r="F106" s="201">
        <f>IF($C106,'Proyecto Datos (OKR´s)'!$G106,"")</f>
      </c>
      <c r="G106" s="201">
        <f>IF($C106,IF('Proyecto Datos (OKR´s)'!$I106="","(Sin asignar)",'Proyecto Datos (OKR´s)'!$I106),"")</f>
      </c>
      <c r="H106" s="200">
        <f>IF($C106,IF(ISNUMBER('Proyecto Datos (OKR´s)'!$F106),'Proyecto Datos (OKR´s)'!$F106,'Proyecto Datos (OKR´s)'!$L106),"")</f>
      </c>
      <c r="I106" s="200">
        <f>IF($C106,'Proyecto Datos (OKR´s)'!$J106,"")</f>
      </c>
      <c r="J106" s="201">
        <f>IF($C106,IF($I106&gt;=1,"Completado",IF($H106&lt;TODAY(),"Vencido",IF(($H106-TODAY())&lt;='Entregas Próximas'!$I$3,"Próximo a vencer","En curso"))),"")</f>
      </c>
      <c r="K106" s="200">
        <f>IF($C106,$H106-TODAY(),"")</f>
      </c>
      <c r="L106" s="200">
        <f>IF($C106,$N106*1000000+$H106+ROW()/100000,"")</f>
      </c>
      <c r="M106" s="200">
        <f>IF($C106,IF('Proyecto Datos (OKR´s)'!$E106="","(Sin sprint)",'Proyecto Datos (OKR´s)'!$E106),"")</f>
      </c>
      <c r="N106" s="200">
        <f>IF($C106,IF('Proyecto Datos (OKR´s)'!$E106="",9999,'Proyecto Datos (OKR´s)'!$E106),"")</f>
      </c>
    </row>
    <row r="107">
      <c r="A107" s="200">
        <f>ROW()</f>
      </c>
      <c r="B107" s="200">
        <f>ISTEXT('Proyecto Datos (OKR´s)'!$K107)</f>
      </c>
      <c r="C107" s="200">
        <f>AND(LEN('Proyecto Datos (OKR´s)'!$G107)&gt;0,NOT($B107),OR(ISNUMBER('Proyecto Datos (OKR´s)'!$F107),ISNUMBER('Proyecto Datos (OKR´s)'!$L107)))</f>
      </c>
      <c r="D107" s="201">
        <f>IF($C107,IFERROR(LOOKUP(2,1/((ISTEXT('Proyecto Datos (OKR´s)'!$K$7:$K107))*(LEN('Proyecto Datos (OKR´s)'!$G$7:$G107)&gt;0)),'Proyecto Datos (OKR´s)'!$G$7:$G107),""),"")</f>
      </c>
      <c r="E107" s="200">
        <f>IF($C107,'Proyecto Datos (OKR´s)'!$E107,"")</f>
      </c>
      <c r="F107" s="201">
        <f>IF($C107,'Proyecto Datos (OKR´s)'!$G107,"")</f>
      </c>
      <c r="G107" s="201">
        <f>IF($C107,IF('Proyecto Datos (OKR´s)'!$I107="","(Sin asignar)",'Proyecto Datos (OKR´s)'!$I107),"")</f>
      </c>
      <c r="H107" s="200">
        <f>IF($C107,IF(ISNUMBER('Proyecto Datos (OKR´s)'!$F107),'Proyecto Datos (OKR´s)'!$F107,'Proyecto Datos (OKR´s)'!$L107),"")</f>
      </c>
      <c r="I107" s="200">
        <f>IF($C107,'Proyecto Datos (OKR´s)'!$J107,"")</f>
      </c>
      <c r="J107" s="201">
        <f>IF($C107,IF($I107&gt;=1,"Completado",IF($H107&lt;TODAY(),"Vencido",IF(($H107-TODAY())&lt;='Entregas Próximas'!$I$3,"Próximo a vencer","En curso"))),"")</f>
      </c>
      <c r="K107" s="200">
        <f>IF($C107,$H107-TODAY(),"")</f>
      </c>
      <c r="L107" s="200">
        <f>IF($C107,$N107*1000000+$H107+ROW()/100000,"")</f>
      </c>
      <c r="M107" s="200">
        <f>IF($C107,IF('Proyecto Datos (OKR´s)'!$E107="","(Sin sprint)",'Proyecto Datos (OKR´s)'!$E107),"")</f>
      </c>
      <c r="N107" s="200">
        <f>IF($C107,IF('Proyecto Datos (OKR´s)'!$E107="",9999,'Proyecto Datos (OKR´s)'!$E107),"")</f>
      </c>
    </row>
    <row r="108">
      <c r="A108" s="200">
        <f>ROW()</f>
      </c>
      <c r="B108" s="200">
        <f>ISTEXT('Proyecto Datos (OKR´s)'!$K108)</f>
      </c>
      <c r="C108" s="200">
        <f>AND(LEN('Proyecto Datos (OKR´s)'!$G108)&gt;0,NOT($B108),OR(ISNUMBER('Proyecto Datos (OKR´s)'!$F108),ISNUMBER('Proyecto Datos (OKR´s)'!$L108)))</f>
      </c>
      <c r="D108" s="201">
        <f>IF($C108,IFERROR(LOOKUP(2,1/((ISTEXT('Proyecto Datos (OKR´s)'!$K$7:$K108))*(LEN('Proyecto Datos (OKR´s)'!$G$7:$G108)&gt;0)),'Proyecto Datos (OKR´s)'!$G$7:$G108),""),"")</f>
      </c>
      <c r="E108" s="200">
        <f>IF($C108,'Proyecto Datos (OKR´s)'!$E108,"")</f>
      </c>
      <c r="F108" s="201">
        <f>IF($C108,'Proyecto Datos (OKR´s)'!$G108,"")</f>
      </c>
      <c r="G108" s="201">
        <f>IF($C108,IF('Proyecto Datos (OKR´s)'!$I108="","(Sin asignar)",'Proyecto Datos (OKR´s)'!$I108),"")</f>
      </c>
      <c r="H108" s="200">
        <f>IF($C108,IF(ISNUMBER('Proyecto Datos (OKR´s)'!$F108),'Proyecto Datos (OKR´s)'!$F108,'Proyecto Datos (OKR´s)'!$L108),"")</f>
      </c>
      <c r="I108" s="200">
        <f>IF($C108,'Proyecto Datos (OKR´s)'!$J108,"")</f>
      </c>
      <c r="J108" s="201">
        <f>IF($C108,IF($I108&gt;=1,"Completado",IF($H108&lt;TODAY(),"Vencido",IF(($H108-TODAY())&lt;='Entregas Próximas'!$I$3,"Próximo a vencer","En curso"))),"")</f>
      </c>
      <c r="K108" s="200">
        <f>IF($C108,$H108-TODAY(),"")</f>
      </c>
      <c r="L108" s="200">
        <f>IF($C108,$N108*1000000+$H108+ROW()/100000,"")</f>
      </c>
      <c r="M108" s="200">
        <f>IF($C108,IF('Proyecto Datos (OKR´s)'!$E108="","(Sin sprint)",'Proyecto Datos (OKR´s)'!$E108),"")</f>
      </c>
      <c r="N108" s="200">
        <f>IF($C108,IF('Proyecto Datos (OKR´s)'!$E108="",9999,'Proyecto Datos (OKR´s)'!$E108),"")</f>
      </c>
    </row>
    <row r="109">
      <c r="A109" s="200">
        <f>ROW()</f>
      </c>
      <c r="B109" s="200">
        <f>ISTEXT('Proyecto Datos (OKR´s)'!$K109)</f>
      </c>
      <c r="C109" s="200">
        <f>AND(LEN('Proyecto Datos (OKR´s)'!$G109)&gt;0,NOT($B109),OR(ISNUMBER('Proyecto Datos (OKR´s)'!$F109),ISNUMBER('Proyecto Datos (OKR´s)'!$L109)))</f>
      </c>
      <c r="D109" s="201">
        <f>IF($C109,IFERROR(LOOKUP(2,1/((ISTEXT('Proyecto Datos (OKR´s)'!$K$7:$K109))*(LEN('Proyecto Datos (OKR´s)'!$G$7:$G109)&gt;0)),'Proyecto Datos (OKR´s)'!$G$7:$G109),""),"")</f>
      </c>
      <c r="E109" s="200">
        <f>IF($C109,'Proyecto Datos (OKR´s)'!$E109,"")</f>
      </c>
      <c r="F109" s="201">
        <f>IF($C109,'Proyecto Datos (OKR´s)'!$G109,"")</f>
      </c>
      <c r="G109" s="201">
        <f>IF($C109,IF('Proyecto Datos (OKR´s)'!$I109="","(Sin asignar)",'Proyecto Datos (OKR´s)'!$I109),"")</f>
      </c>
      <c r="H109" s="200">
        <f>IF($C109,IF(ISNUMBER('Proyecto Datos (OKR´s)'!$F109),'Proyecto Datos (OKR´s)'!$F109,'Proyecto Datos (OKR´s)'!$L109),"")</f>
      </c>
      <c r="I109" s="200">
        <f>IF($C109,'Proyecto Datos (OKR´s)'!$J109,"")</f>
      </c>
      <c r="J109" s="201">
        <f>IF($C109,IF($I109&gt;=1,"Completado",IF($H109&lt;TODAY(),"Vencido",IF(($H109-TODAY())&lt;='Entregas Próximas'!$I$3,"Próximo a vencer","En curso"))),"")</f>
      </c>
      <c r="K109" s="200">
        <f>IF($C109,$H109-TODAY(),"")</f>
      </c>
      <c r="L109" s="200">
        <f>IF($C109,$N109*1000000+$H109+ROW()/100000,"")</f>
      </c>
      <c r="M109" s="200">
        <f>IF($C109,IF('Proyecto Datos (OKR´s)'!$E109="","(Sin sprint)",'Proyecto Datos (OKR´s)'!$E109),"")</f>
      </c>
      <c r="N109" s="200">
        <f>IF($C109,IF('Proyecto Datos (OKR´s)'!$E109="",9999,'Proyecto Datos (OKR´s)'!$E109),"")</f>
      </c>
    </row>
    <row r="110">
      <c r="A110" s="200">
        <f>ROW()</f>
      </c>
      <c r="B110" s="200">
        <f>ISTEXT('Proyecto Datos (OKR´s)'!$K110)</f>
      </c>
      <c r="C110" s="200">
        <f>AND(LEN('Proyecto Datos (OKR´s)'!$G110)&gt;0,NOT($B110),OR(ISNUMBER('Proyecto Datos (OKR´s)'!$F110),ISNUMBER('Proyecto Datos (OKR´s)'!$L110)))</f>
      </c>
      <c r="D110" s="201">
        <f>IF($C110,IFERROR(LOOKUP(2,1/((ISTEXT('Proyecto Datos (OKR´s)'!$K$7:$K110))*(LEN('Proyecto Datos (OKR´s)'!$G$7:$G110)&gt;0)),'Proyecto Datos (OKR´s)'!$G$7:$G110),""),"")</f>
      </c>
      <c r="E110" s="200">
        <f>IF($C110,'Proyecto Datos (OKR´s)'!$E110,"")</f>
      </c>
      <c r="F110" s="201">
        <f>IF($C110,'Proyecto Datos (OKR´s)'!$G110,"")</f>
      </c>
      <c r="G110" s="201">
        <f>IF($C110,IF('Proyecto Datos (OKR´s)'!$I110="","(Sin asignar)",'Proyecto Datos (OKR´s)'!$I110),"")</f>
      </c>
      <c r="H110" s="200">
        <f>IF($C110,IF(ISNUMBER('Proyecto Datos (OKR´s)'!$F110),'Proyecto Datos (OKR´s)'!$F110,'Proyecto Datos (OKR´s)'!$L110),"")</f>
      </c>
      <c r="I110" s="200">
        <f>IF($C110,'Proyecto Datos (OKR´s)'!$J110,"")</f>
      </c>
      <c r="J110" s="201">
        <f>IF($C110,IF($I110&gt;=1,"Completado",IF($H110&lt;TODAY(),"Vencido",IF(($H110-TODAY())&lt;='Entregas Próximas'!$I$3,"Próximo a vencer","En curso"))),"")</f>
      </c>
      <c r="K110" s="200">
        <f>IF($C110,$H110-TODAY(),"")</f>
      </c>
      <c r="L110" s="200">
        <f>IF($C110,$N110*1000000+$H110+ROW()/100000,"")</f>
      </c>
      <c r="M110" s="200">
        <f>IF($C110,IF('Proyecto Datos (OKR´s)'!$E110="","(Sin sprint)",'Proyecto Datos (OKR´s)'!$E110),"")</f>
      </c>
      <c r="N110" s="200">
        <f>IF($C110,IF('Proyecto Datos (OKR´s)'!$E110="",9999,'Proyecto Datos (OKR´s)'!$E110),"")</f>
      </c>
    </row>
    <row r="111">
      <c r="A111" s="200">
        <f>ROW()</f>
      </c>
      <c r="B111" s="200">
        <f>ISTEXT('Proyecto Datos (OKR´s)'!$K111)</f>
      </c>
      <c r="C111" s="200">
        <f>AND(LEN('Proyecto Datos (OKR´s)'!$G111)&gt;0,NOT($B111),OR(ISNUMBER('Proyecto Datos (OKR´s)'!$F111),ISNUMBER('Proyecto Datos (OKR´s)'!$L111)))</f>
      </c>
      <c r="D111" s="201">
        <f>IF($C111,IFERROR(LOOKUP(2,1/((ISTEXT('Proyecto Datos (OKR´s)'!$K$7:$K111))*(LEN('Proyecto Datos (OKR´s)'!$G$7:$G111)&gt;0)),'Proyecto Datos (OKR´s)'!$G$7:$G111),""),"")</f>
      </c>
      <c r="E111" s="200">
        <f>IF($C111,'Proyecto Datos (OKR´s)'!$E111,"")</f>
      </c>
      <c r="F111" s="201">
        <f>IF($C111,'Proyecto Datos (OKR´s)'!$G111,"")</f>
      </c>
      <c r="G111" s="201">
        <f>IF($C111,IF('Proyecto Datos (OKR´s)'!$I111="","(Sin asignar)",'Proyecto Datos (OKR´s)'!$I111),"")</f>
      </c>
      <c r="H111" s="200">
        <f>IF($C111,IF(ISNUMBER('Proyecto Datos (OKR´s)'!$F111),'Proyecto Datos (OKR´s)'!$F111,'Proyecto Datos (OKR´s)'!$L111),"")</f>
      </c>
      <c r="I111" s="200">
        <f>IF($C111,'Proyecto Datos (OKR´s)'!$J111,"")</f>
      </c>
      <c r="J111" s="201">
        <f>IF($C111,IF($I111&gt;=1,"Completado",IF($H111&lt;TODAY(),"Vencido",IF(($H111-TODAY())&lt;='Entregas Próximas'!$I$3,"Próximo a vencer","En curso"))),"")</f>
      </c>
      <c r="K111" s="200">
        <f>IF($C111,$H111-TODAY(),"")</f>
      </c>
      <c r="L111" s="200">
        <f>IF($C111,$N111*1000000+$H111+ROW()/100000,"")</f>
      </c>
      <c r="M111" s="200">
        <f>IF($C111,IF('Proyecto Datos (OKR´s)'!$E111="","(Sin sprint)",'Proyecto Datos (OKR´s)'!$E111),"")</f>
      </c>
      <c r="N111" s="200">
        <f>IF($C111,IF('Proyecto Datos (OKR´s)'!$E111="",9999,'Proyecto Datos (OKR´s)'!$E111),"")</f>
      </c>
    </row>
    <row r="112">
      <c r="A112" s="200">
        <f>ROW()</f>
      </c>
      <c r="B112" s="200">
        <f>ISTEXT('Proyecto Datos (OKR´s)'!$K112)</f>
      </c>
      <c r="C112" s="200">
        <f>AND(LEN('Proyecto Datos (OKR´s)'!$G112)&gt;0,NOT($B112),OR(ISNUMBER('Proyecto Datos (OKR´s)'!$F112),ISNUMBER('Proyecto Datos (OKR´s)'!$L112)))</f>
      </c>
      <c r="D112" s="201">
        <f>IF($C112,IFERROR(LOOKUP(2,1/((ISTEXT('Proyecto Datos (OKR´s)'!$K$7:$K112))*(LEN('Proyecto Datos (OKR´s)'!$G$7:$G112)&gt;0)),'Proyecto Datos (OKR´s)'!$G$7:$G112),""),"")</f>
      </c>
      <c r="E112" s="200">
        <f>IF($C112,'Proyecto Datos (OKR´s)'!$E112,"")</f>
      </c>
      <c r="F112" s="201">
        <f>IF($C112,'Proyecto Datos (OKR´s)'!$G112,"")</f>
      </c>
      <c r="G112" s="201">
        <f>IF($C112,IF('Proyecto Datos (OKR´s)'!$I112="","(Sin asignar)",'Proyecto Datos (OKR´s)'!$I112),"")</f>
      </c>
      <c r="H112" s="200">
        <f>IF($C112,IF(ISNUMBER('Proyecto Datos (OKR´s)'!$F112),'Proyecto Datos (OKR´s)'!$F112,'Proyecto Datos (OKR´s)'!$L112),"")</f>
      </c>
      <c r="I112" s="200">
        <f>IF($C112,'Proyecto Datos (OKR´s)'!$J112,"")</f>
      </c>
      <c r="J112" s="201">
        <f>IF($C112,IF($I112&gt;=1,"Completado",IF($H112&lt;TODAY(),"Vencido",IF(($H112-TODAY())&lt;='Entregas Próximas'!$I$3,"Próximo a vencer","En curso"))),"")</f>
      </c>
      <c r="K112" s="200">
        <f>IF($C112,$H112-TODAY(),"")</f>
      </c>
      <c r="L112" s="200">
        <f>IF($C112,$N112*1000000+$H112+ROW()/100000,"")</f>
      </c>
      <c r="M112" s="200">
        <f>IF($C112,IF('Proyecto Datos (OKR´s)'!$E112="","(Sin sprint)",'Proyecto Datos (OKR´s)'!$E112),"")</f>
      </c>
      <c r="N112" s="200">
        <f>IF($C112,IF('Proyecto Datos (OKR´s)'!$E112="",9999,'Proyecto Datos (OKR´s)'!$E112),"")</f>
      </c>
    </row>
    <row r="113">
      <c r="A113" s="200">
        <f>ROW()</f>
      </c>
      <c r="B113" s="200">
        <f>ISTEXT('Proyecto Datos (OKR´s)'!$K113)</f>
      </c>
      <c r="C113" s="200">
        <f>AND(LEN('Proyecto Datos (OKR´s)'!$G113)&gt;0,NOT($B113),OR(ISNUMBER('Proyecto Datos (OKR´s)'!$F113),ISNUMBER('Proyecto Datos (OKR´s)'!$L113)))</f>
      </c>
      <c r="D113" s="201">
        <f>IF($C113,IFERROR(LOOKUP(2,1/((ISTEXT('Proyecto Datos (OKR´s)'!$K$7:$K113))*(LEN('Proyecto Datos (OKR´s)'!$G$7:$G113)&gt;0)),'Proyecto Datos (OKR´s)'!$G$7:$G113),""),"")</f>
      </c>
      <c r="E113" s="200">
        <f>IF($C113,'Proyecto Datos (OKR´s)'!$E113,"")</f>
      </c>
      <c r="F113" s="201">
        <f>IF($C113,'Proyecto Datos (OKR´s)'!$G113,"")</f>
      </c>
      <c r="G113" s="201">
        <f>IF($C113,IF('Proyecto Datos (OKR´s)'!$I113="","(Sin asignar)",'Proyecto Datos (OKR´s)'!$I113),"")</f>
      </c>
      <c r="H113" s="200">
        <f>IF($C113,IF(ISNUMBER('Proyecto Datos (OKR´s)'!$F113),'Proyecto Datos (OKR´s)'!$F113,'Proyecto Datos (OKR´s)'!$L113),"")</f>
      </c>
      <c r="I113" s="200">
        <f>IF($C113,'Proyecto Datos (OKR´s)'!$J113,"")</f>
      </c>
      <c r="J113" s="201">
        <f>IF($C113,IF($I113&gt;=1,"Completado",IF($H113&lt;TODAY(),"Vencido",IF(($H113-TODAY())&lt;='Entregas Próximas'!$I$3,"Próximo a vencer","En curso"))),"")</f>
      </c>
      <c r="K113" s="200">
        <f>IF($C113,$H113-TODAY(),"")</f>
      </c>
      <c r="L113" s="200">
        <f>IF($C113,$N113*1000000+$H113+ROW()/100000,"")</f>
      </c>
      <c r="M113" s="200">
        <f>IF($C113,IF('Proyecto Datos (OKR´s)'!$E113="","(Sin sprint)",'Proyecto Datos (OKR´s)'!$E113),"")</f>
      </c>
      <c r="N113" s="200">
        <f>IF($C113,IF('Proyecto Datos (OKR´s)'!$E113="",9999,'Proyecto Datos (OKR´s)'!$E113),"")</f>
      </c>
    </row>
    <row r="114">
      <c r="A114" s="200">
        <f>ROW()</f>
      </c>
      <c r="B114" s="200">
        <f>ISTEXT('Proyecto Datos (OKR´s)'!$K114)</f>
      </c>
      <c r="C114" s="200">
        <f>AND(LEN('Proyecto Datos (OKR´s)'!$G114)&gt;0,NOT($B114),OR(ISNUMBER('Proyecto Datos (OKR´s)'!$F114),ISNUMBER('Proyecto Datos (OKR´s)'!$L114)))</f>
      </c>
      <c r="D114" s="201">
        <f>IF($C114,IFERROR(LOOKUP(2,1/((ISTEXT('Proyecto Datos (OKR´s)'!$K$7:$K114))*(LEN('Proyecto Datos (OKR´s)'!$G$7:$G114)&gt;0)),'Proyecto Datos (OKR´s)'!$G$7:$G114),""),"")</f>
      </c>
      <c r="E114" s="200">
        <f>IF($C114,'Proyecto Datos (OKR´s)'!$E114,"")</f>
      </c>
      <c r="F114" s="201">
        <f>IF($C114,'Proyecto Datos (OKR´s)'!$G114,"")</f>
      </c>
      <c r="G114" s="201">
        <f>IF($C114,IF('Proyecto Datos (OKR´s)'!$I114="","(Sin asignar)",'Proyecto Datos (OKR´s)'!$I114),"")</f>
      </c>
      <c r="H114" s="200">
        <f>IF($C114,IF(ISNUMBER('Proyecto Datos (OKR´s)'!$F114),'Proyecto Datos (OKR´s)'!$F114,'Proyecto Datos (OKR´s)'!$L114),"")</f>
      </c>
      <c r="I114" s="200">
        <f>IF($C114,'Proyecto Datos (OKR´s)'!$J114,"")</f>
      </c>
      <c r="J114" s="201">
        <f>IF($C114,IF($I114&gt;=1,"Completado",IF($H114&lt;TODAY(),"Vencido",IF(($H114-TODAY())&lt;='Entregas Próximas'!$I$3,"Próximo a vencer","En curso"))),"")</f>
      </c>
      <c r="K114" s="200">
        <f>IF($C114,$H114-TODAY(),"")</f>
      </c>
      <c r="L114" s="200">
        <f>IF($C114,$N114*1000000+$H114+ROW()/100000,"")</f>
      </c>
      <c r="M114" s="200">
        <f>IF($C114,IF('Proyecto Datos (OKR´s)'!$E114="","(Sin sprint)",'Proyecto Datos (OKR´s)'!$E114),"")</f>
      </c>
      <c r="N114" s="200">
        <f>IF($C114,IF('Proyecto Datos (OKR´s)'!$E114="",9999,'Proyecto Datos (OKR´s)'!$E114),"")</f>
      </c>
    </row>
    <row r="115">
      <c r="A115" s="200">
        <f>ROW()</f>
      </c>
      <c r="B115" s="200">
        <f>ISTEXT('Proyecto Datos (OKR´s)'!$K115)</f>
      </c>
      <c r="C115" s="200">
        <f>AND(LEN('Proyecto Datos (OKR´s)'!$G115)&gt;0,NOT($B115),OR(ISNUMBER('Proyecto Datos (OKR´s)'!$F115),ISNUMBER('Proyecto Datos (OKR´s)'!$L115)))</f>
      </c>
      <c r="D115" s="201">
        <f>IF($C115,IFERROR(LOOKUP(2,1/((ISTEXT('Proyecto Datos (OKR´s)'!$K$7:$K115))*(LEN('Proyecto Datos (OKR´s)'!$G$7:$G115)&gt;0)),'Proyecto Datos (OKR´s)'!$G$7:$G115),""),"")</f>
      </c>
      <c r="E115" s="200">
        <f>IF($C115,'Proyecto Datos (OKR´s)'!$E115,"")</f>
      </c>
      <c r="F115" s="201">
        <f>IF($C115,'Proyecto Datos (OKR´s)'!$G115,"")</f>
      </c>
      <c r="G115" s="201">
        <f>IF($C115,IF('Proyecto Datos (OKR´s)'!$I115="","(Sin asignar)",'Proyecto Datos (OKR´s)'!$I115),"")</f>
      </c>
      <c r="H115" s="200">
        <f>IF($C115,IF(ISNUMBER('Proyecto Datos (OKR´s)'!$F115),'Proyecto Datos (OKR´s)'!$F115,'Proyecto Datos (OKR´s)'!$L115),"")</f>
      </c>
      <c r="I115" s="200">
        <f>IF($C115,'Proyecto Datos (OKR´s)'!$J115,"")</f>
      </c>
      <c r="J115" s="201">
        <f>IF($C115,IF($I115&gt;=1,"Completado",IF($H115&lt;TODAY(),"Vencido",IF(($H115-TODAY())&lt;='Entregas Próximas'!$I$3,"Próximo a vencer","En curso"))),"")</f>
      </c>
      <c r="K115" s="200">
        <f>IF($C115,$H115-TODAY(),"")</f>
      </c>
      <c r="L115" s="200">
        <f>IF($C115,$N115*1000000+$H115+ROW()/100000,"")</f>
      </c>
      <c r="M115" s="200">
        <f>IF($C115,IF('Proyecto Datos (OKR´s)'!$E115="","(Sin sprint)",'Proyecto Datos (OKR´s)'!$E115),"")</f>
      </c>
      <c r="N115" s="200">
        <f>IF($C115,IF('Proyecto Datos (OKR´s)'!$E115="",9999,'Proyecto Datos (OKR´s)'!$E115),"")</f>
      </c>
    </row>
    <row r="116">
      <c r="A116" s="200">
        <f>ROW()</f>
      </c>
      <c r="B116" s="200">
        <f>ISTEXT('Proyecto Datos (OKR´s)'!$K116)</f>
      </c>
      <c r="C116" s="200">
        <f>AND(LEN('Proyecto Datos (OKR´s)'!$G116)&gt;0,NOT($B116),OR(ISNUMBER('Proyecto Datos (OKR´s)'!$F116),ISNUMBER('Proyecto Datos (OKR´s)'!$L116)))</f>
      </c>
      <c r="D116" s="201">
        <f>IF($C116,IFERROR(LOOKUP(2,1/((ISTEXT('Proyecto Datos (OKR´s)'!$K$7:$K116))*(LEN('Proyecto Datos (OKR´s)'!$G$7:$G116)&gt;0)),'Proyecto Datos (OKR´s)'!$G$7:$G116),""),"")</f>
      </c>
      <c r="E116" s="200">
        <f>IF($C116,'Proyecto Datos (OKR´s)'!$E116,"")</f>
      </c>
      <c r="F116" s="201">
        <f>IF($C116,'Proyecto Datos (OKR´s)'!$G116,"")</f>
      </c>
      <c r="G116" s="201">
        <f>IF($C116,IF('Proyecto Datos (OKR´s)'!$I116="","(Sin asignar)",'Proyecto Datos (OKR´s)'!$I116),"")</f>
      </c>
      <c r="H116" s="200">
        <f>IF($C116,IF(ISNUMBER('Proyecto Datos (OKR´s)'!$F116),'Proyecto Datos (OKR´s)'!$F116,'Proyecto Datos (OKR´s)'!$L116),"")</f>
      </c>
      <c r="I116" s="200">
        <f>IF($C116,'Proyecto Datos (OKR´s)'!$J116,"")</f>
      </c>
      <c r="J116" s="201">
        <f>IF($C116,IF($I116&gt;=1,"Completado",IF($H116&lt;TODAY(),"Vencido",IF(($H116-TODAY())&lt;='Entregas Próximas'!$I$3,"Próximo a vencer","En curso"))),"")</f>
      </c>
      <c r="K116" s="200">
        <f>IF($C116,$H116-TODAY(),"")</f>
      </c>
      <c r="L116" s="200">
        <f>IF($C116,$N116*1000000+$H116+ROW()/100000,"")</f>
      </c>
      <c r="M116" s="200">
        <f>IF($C116,IF('Proyecto Datos (OKR´s)'!$E116="","(Sin sprint)",'Proyecto Datos (OKR´s)'!$E116),"")</f>
      </c>
      <c r="N116" s="200">
        <f>IF($C116,IF('Proyecto Datos (OKR´s)'!$E116="",9999,'Proyecto Datos (OKR´s)'!$E116),"")</f>
      </c>
    </row>
    <row r="117">
      <c r="A117" s="200">
        <f>ROW()</f>
      </c>
      <c r="B117" s="200">
        <f>ISTEXT('Proyecto Datos (OKR´s)'!$K117)</f>
      </c>
      <c r="C117" s="200">
        <f>AND(LEN('Proyecto Datos (OKR´s)'!$G117)&gt;0,NOT($B117),OR(ISNUMBER('Proyecto Datos (OKR´s)'!$F117),ISNUMBER('Proyecto Datos (OKR´s)'!$L117)))</f>
      </c>
      <c r="D117" s="201">
        <f>IF($C117,IFERROR(LOOKUP(2,1/((ISTEXT('Proyecto Datos (OKR´s)'!$K$7:$K117))*(LEN('Proyecto Datos (OKR´s)'!$G$7:$G117)&gt;0)),'Proyecto Datos (OKR´s)'!$G$7:$G117),""),"")</f>
      </c>
      <c r="E117" s="200">
        <f>IF($C117,'Proyecto Datos (OKR´s)'!$E117,"")</f>
      </c>
      <c r="F117" s="201">
        <f>IF($C117,'Proyecto Datos (OKR´s)'!$G117,"")</f>
      </c>
      <c r="G117" s="201">
        <f>IF($C117,IF('Proyecto Datos (OKR´s)'!$I117="","(Sin asignar)",'Proyecto Datos (OKR´s)'!$I117),"")</f>
      </c>
      <c r="H117" s="200">
        <f>IF($C117,IF(ISNUMBER('Proyecto Datos (OKR´s)'!$F117),'Proyecto Datos (OKR´s)'!$F117,'Proyecto Datos (OKR´s)'!$L117),"")</f>
      </c>
      <c r="I117" s="200">
        <f>IF($C117,'Proyecto Datos (OKR´s)'!$J117,"")</f>
      </c>
      <c r="J117" s="201">
        <f>IF($C117,IF($I117&gt;=1,"Completado",IF($H117&lt;TODAY(),"Vencido",IF(($H117-TODAY())&lt;='Entregas Próximas'!$I$3,"Próximo a vencer","En curso"))),"")</f>
      </c>
      <c r="K117" s="200">
        <f>IF($C117,$H117-TODAY(),"")</f>
      </c>
      <c r="L117" s="200">
        <f>IF($C117,$N117*1000000+$H117+ROW()/100000,"")</f>
      </c>
      <c r="M117" s="200">
        <f>IF($C117,IF('Proyecto Datos (OKR´s)'!$E117="","(Sin sprint)",'Proyecto Datos (OKR´s)'!$E117),"")</f>
      </c>
      <c r="N117" s="200">
        <f>IF($C117,IF('Proyecto Datos (OKR´s)'!$E117="",9999,'Proyecto Datos (OKR´s)'!$E117),"")</f>
      </c>
    </row>
    <row r="118">
      <c r="A118" s="200">
        <f>ROW()</f>
      </c>
      <c r="B118" s="200">
        <f>ISTEXT('Proyecto Datos (OKR´s)'!$K118)</f>
      </c>
      <c r="C118" s="200">
        <f>AND(LEN('Proyecto Datos (OKR´s)'!$G118)&gt;0,NOT($B118),OR(ISNUMBER('Proyecto Datos (OKR´s)'!$F118),ISNUMBER('Proyecto Datos (OKR´s)'!$L118)))</f>
      </c>
      <c r="D118" s="201">
        <f>IF($C118,IFERROR(LOOKUP(2,1/((ISTEXT('Proyecto Datos (OKR´s)'!$K$7:$K118))*(LEN('Proyecto Datos (OKR´s)'!$G$7:$G118)&gt;0)),'Proyecto Datos (OKR´s)'!$G$7:$G118),""),"")</f>
      </c>
      <c r="E118" s="200">
        <f>IF($C118,'Proyecto Datos (OKR´s)'!$E118,"")</f>
      </c>
      <c r="F118" s="201">
        <f>IF($C118,'Proyecto Datos (OKR´s)'!$G118,"")</f>
      </c>
      <c r="G118" s="201">
        <f>IF($C118,IF('Proyecto Datos (OKR´s)'!$I118="","(Sin asignar)",'Proyecto Datos (OKR´s)'!$I118),"")</f>
      </c>
      <c r="H118" s="200">
        <f>IF($C118,IF(ISNUMBER('Proyecto Datos (OKR´s)'!$F118),'Proyecto Datos (OKR´s)'!$F118,'Proyecto Datos (OKR´s)'!$L118),"")</f>
      </c>
      <c r="I118" s="200">
        <f>IF($C118,'Proyecto Datos (OKR´s)'!$J118,"")</f>
      </c>
      <c r="J118" s="201">
        <f>IF($C118,IF($I118&gt;=1,"Completado",IF($H118&lt;TODAY(),"Vencido",IF(($H118-TODAY())&lt;='Entregas Próximas'!$I$3,"Próximo a vencer","En curso"))),"")</f>
      </c>
      <c r="K118" s="200">
        <f>IF($C118,$H118-TODAY(),"")</f>
      </c>
      <c r="L118" s="200">
        <f>IF($C118,$N118*1000000+$H118+ROW()/100000,"")</f>
      </c>
      <c r="M118" s="200">
        <f>IF($C118,IF('Proyecto Datos (OKR´s)'!$E118="","(Sin sprint)",'Proyecto Datos (OKR´s)'!$E118),"")</f>
      </c>
      <c r="N118" s="200">
        <f>IF($C118,IF('Proyecto Datos (OKR´s)'!$E118="",9999,'Proyecto Datos (OKR´s)'!$E118),"")</f>
      </c>
    </row>
    <row r="119">
      <c r="A119" s="200">
        <f>ROW()</f>
      </c>
      <c r="B119" s="200">
        <f>ISTEXT('Proyecto Datos (OKR´s)'!$K119)</f>
      </c>
      <c r="C119" s="200">
        <f>AND(LEN('Proyecto Datos (OKR´s)'!$G119)&gt;0,NOT($B119),OR(ISNUMBER('Proyecto Datos (OKR´s)'!$F119),ISNUMBER('Proyecto Datos (OKR´s)'!$L119)))</f>
      </c>
      <c r="D119" s="201">
        <f>IF($C119,IFERROR(LOOKUP(2,1/((ISTEXT('Proyecto Datos (OKR´s)'!$K$7:$K119))*(LEN('Proyecto Datos (OKR´s)'!$G$7:$G119)&gt;0)),'Proyecto Datos (OKR´s)'!$G$7:$G119),""),"")</f>
      </c>
      <c r="E119" s="200">
        <f>IF($C119,'Proyecto Datos (OKR´s)'!$E119,"")</f>
      </c>
      <c r="F119" s="201">
        <f>IF($C119,'Proyecto Datos (OKR´s)'!$G119,"")</f>
      </c>
      <c r="G119" s="201">
        <f>IF($C119,IF('Proyecto Datos (OKR´s)'!$I119="","(Sin asignar)",'Proyecto Datos (OKR´s)'!$I119),"")</f>
      </c>
      <c r="H119" s="200">
        <f>IF($C119,IF(ISNUMBER('Proyecto Datos (OKR´s)'!$F119),'Proyecto Datos (OKR´s)'!$F119,'Proyecto Datos (OKR´s)'!$L119),"")</f>
      </c>
      <c r="I119" s="200">
        <f>IF($C119,'Proyecto Datos (OKR´s)'!$J119,"")</f>
      </c>
      <c r="J119" s="201">
        <f>IF($C119,IF($I119&gt;=1,"Completado",IF($H119&lt;TODAY(),"Vencido",IF(($H119-TODAY())&lt;='Entregas Próximas'!$I$3,"Próximo a vencer","En curso"))),"")</f>
      </c>
      <c r="K119" s="200">
        <f>IF($C119,$H119-TODAY(),"")</f>
      </c>
      <c r="L119" s="200">
        <f>IF($C119,$N119*1000000+$H119+ROW()/100000,"")</f>
      </c>
      <c r="M119" s="200">
        <f>IF($C119,IF('Proyecto Datos (OKR´s)'!$E119="","(Sin sprint)",'Proyecto Datos (OKR´s)'!$E119),"")</f>
      </c>
      <c r="N119" s="200">
        <f>IF($C119,IF('Proyecto Datos (OKR´s)'!$E119="",9999,'Proyecto Datos (OKR´s)'!$E119),"")</f>
      </c>
    </row>
    <row r="120">
      <c r="A120" s="200">
        <f>ROW()</f>
      </c>
      <c r="B120" s="200">
        <f>ISTEXT('Proyecto Datos (OKR´s)'!$K120)</f>
      </c>
      <c r="C120" s="200">
        <f>AND(LEN('Proyecto Datos (OKR´s)'!$G120)&gt;0,NOT($B120),OR(ISNUMBER('Proyecto Datos (OKR´s)'!$F120),ISNUMBER('Proyecto Datos (OKR´s)'!$L120)))</f>
      </c>
      <c r="D120" s="201">
        <f>IF($C120,IFERROR(LOOKUP(2,1/((ISTEXT('Proyecto Datos (OKR´s)'!$K$7:$K120))*(LEN('Proyecto Datos (OKR´s)'!$G$7:$G120)&gt;0)),'Proyecto Datos (OKR´s)'!$G$7:$G120),""),"")</f>
      </c>
      <c r="E120" s="200">
        <f>IF($C120,'Proyecto Datos (OKR´s)'!$E120,"")</f>
      </c>
      <c r="F120" s="201">
        <f>IF($C120,'Proyecto Datos (OKR´s)'!$G120,"")</f>
      </c>
      <c r="G120" s="201">
        <f>IF($C120,IF('Proyecto Datos (OKR´s)'!$I120="","(Sin asignar)",'Proyecto Datos (OKR´s)'!$I120),"")</f>
      </c>
      <c r="H120" s="200">
        <f>IF($C120,IF(ISNUMBER('Proyecto Datos (OKR´s)'!$F120),'Proyecto Datos (OKR´s)'!$F120,'Proyecto Datos (OKR´s)'!$L120),"")</f>
      </c>
      <c r="I120" s="200">
        <f>IF($C120,'Proyecto Datos (OKR´s)'!$J120,"")</f>
      </c>
      <c r="J120" s="201">
        <f>IF($C120,IF($I120&gt;=1,"Completado",IF($H120&lt;TODAY(),"Vencido",IF(($H120-TODAY())&lt;='Entregas Próximas'!$I$3,"Próximo a vencer","En curso"))),"")</f>
      </c>
      <c r="K120" s="200">
        <f>IF($C120,$H120-TODAY(),"")</f>
      </c>
      <c r="L120" s="200">
        <f>IF($C120,$N120*1000000+$H120+ROW()/100000,"")</f>
      </c>
      <c r="M120" s="200">
        <f>IF($C120,IF('Proyecto Datos (OKR´s)'!$E120="","(Sin sprint)",'Proyecto Datos (OKR´s)'!$E120),"")</f>
      </c>
      <c r="N120" s="200">
        <f>IF($C120,IF('Proyecto Datos (OKR´s)'!$E120="",9999,'Proyecto Datos (OKR´s)'!$E120),"")</f>
      </c>
    </row>
    <row r="121">
      <c r="A121" s="200">
        <f>ROW()</f>
      </c>
      <c r="B121" s="200">
        <f>ISTEXT('Proyecto Datos (OKR´s)'!$K121)</f>
      </c>
      <c r="C121" s="200">
        <f>AND(LEN('Proyecto Datos (OKR´s)'!$G121)&gt;0,NOT($B121),OR(ISNUMBER('Proyecto Datos (OKR´s)'!$F121),ISNUMBER('Proyecto Datos (OKR´s)'!$L121)))</f>
      </c>
      <c r="D121" s="201">
        <f>IF($C121,IFERROR(LOOKUP(2,1/((ISTEXT('Proyecto Datos (OKR´s)'!$K$7:$K121))*(LEN('Proyecto Datos (OKR´s)'!$G$7:$G121)&gt;0)),'Proyecto Datos (OKR´s)'!$G$7:$G121),""),"")</f>
      </c>
      <c r="E121" s="200">
        <f>IF($C121,'Proyecto Datos (OKR´s)'!$E121,"")</f>
      </c>
      <c r="F121" s="201">
        <f>IF($C121,'Proyecto Datos (OKR´s)'!$G121,"")</f>
      </c>
      <c r="G121" s="201">
        <f>IF($C121,IF('Proyecto Datos (OKR´s)'!$I121="","(Sin asignar)",'Proyecto Datos (OKR´s)'!$I121),"")</f>
      </c>
      <c r="H121" s="200">
        <f>IF($C121,IF(ISNUMBER('Proyecto Datos (OKR´s)'!$F121),'Proyecto Datos (OKR´s)'!$F121,'Proyecto Datos (OKR´s)'!$L121),"")</f>
      </c>
      <c r="I121" s="200">
        <f>IF($C121,'Proyecto Datos (OKR´s)'!$J121,"")</f>
      </c>
      <c r="J121" s="201">
        <f>IF($C121,IF($I121&gt;=1,"Completado",IF($H121&lt;TODAY(),"Vencido",IF(($H121-TODAY())&lt;='Entregas Próximas'!$I$3,"Próximo a vencer","En curso"))),"")</f>
      </c>
      <c r="K121" s="200">
        <f>IF($C121,$H121-TODAY(),"")</f>
      </c>
      <c r="L121" s="200">
        <f>IF($C121,$N121*1000000+$H121+ROW()/100000,"")</f>
      </c>
      <c r="M121" s="200">
        <f>IF($C121,IF('Proyecto Datos (OKR´s)'!$E121="","(Sin sprint)",'Proyecto Datos (OKR´s)'!$E121),"")</f>
      </c>
      <c r="N121" s="200">
        <f>IF($C121,IF('Proyecto Datos (OKR´s)'!$E121="",9999,'Proyecto Datos (OKR´s)'!$E121),"")</f>
      </c>
    </row>
    <row r="122">
      <c r="A122" s="200">
        <f>ROW()</f>
      </c>
      <c r="B122" s="200">
        <f>ISTEXT('Proyecto Datos (OKR´s)'!$K122)</f>
      </c>
      <c r="C122" s="200">
        <f>AND(LEN('Proyecto Datos (OKR´s)'!$G122)&gt;0,NOT($B122),OR(ISNUMBER('Proyecto Datos (OKR´s)'!$F122),ISNUMBER('Proyecto Datos (OKR´s)'!$L122)))</f>
      </c>
      <c r="D122" s="201">
        <f>IF($C122,IFERROR(LOOKUP(2,1/((ISTEXT('Proyecto Datos (OKR´s)'!$K$7:$K122))*(LEN('Proyecto Datos (OKR´s)'!$G$7:$G122)&gt;0)),'Proyecto Datos (OKR´s)'!$G$7:$G122),""),"")</f>
      </c>
      <c r="E122" s="200">
        <f>IF($C122,'Proyecto Datos (OKR´s)'!$E122,"")</f>
      </c>
      <c r="F122" s="201">
        <f>IF($C122,'Proyecto Datos (OKR´s)'!$G122,"")</f>
      </c>
      <c r="G122" s="201">
        <f>IF($C122,IF('Proyecto Datos (OKR´s)'!$I122="","(Sin asignar)",'Proyecto Datos (OKR´s)'!$I122),"")</f>
      </c>
      <c r="H122" s="200">
        <f>IF($C122,IF(ISNUMBER('Proyecto Datos (OKR´s)'!$F122),'Proyecto Datos (OKR´s)'!$F122,'Proyecto Datos (OKR´s)'!$L122),"")</f>
      </c>
      <c r="I122" s="200">
        <f>IF($C122,'Proyecto Datos (OKR´s)'!$J122,"")</f>
      </c>
      <c r="J122" s="201">
        <f>IF($C122,IF($I122&gt;=1,"Completado",IF($H122&lt;TODAY(),"Vencido",IF(($H122-TODAY())&lt;='Entregas Próximas'!$I$3,"Próximo a vencer","En curso"))),"")</f>
      </c>
      <c r="K122" s="200">
        <f>IF($C122,$H122-TODAY(),"")</f>
      </c>
      <c r="L122" s="200">
        <f>IF($C122,$N122*1000000+$H122+ROW()/100000,"")</f>
      </c>
      <c r="M122" s="200">
        <f>IF($C122,IF('Proyecto Datos (OKR´s)'!$E122="","(Sin sprint)",'Proyecto Datos (OKR´s)'!$E122),"")</f>
      </c>
      <c r="N122" s="200">
        <f>IF($C122,IF('Proyecto Datos (OKR´s)'!$E122="",9999,'Proyecto Datos (OKR´s)'!$E122),"")</f>
      </c>
    </row>
    <row r="123">
      <c r="A123" s="200">
        <f>ROW()</f>
      </c>
      <c r="B123" s="200">
        <f>ISTEXT('Proyecto Datos (OKR´s)'!$K123)</f>
      </c>
      <c r="C123" s="200">
        <f>AND(LEN('Proyecto Datos (OKR´s)'!$G123)&gt;0,NOT($B123),OR(ISNUMBER('Proyecto Datos (OKR´s)'!$F123),ISNUMBER('Proyecto Datos (OKR´s)'!$L123)))</f>
      </c>
      <c r="D123" s="201">
        <f>IF($C123,IFERROR(LOOKUP(2,1/((ISTEXT('Proyecto Datos (OKR´s)'!$K$7:$K123))*(LEN('Proyecto Datos (OKR´s)'!$G$7:$G123)&gt;0)),'Proyecto Datos (OKR´s)'!$G$7:$G123),""),"")</f>
      </c>
      <c r="E123" s="200">
        <f>IF($C123,'Proyecto Datos (OKR´s)'!$E123,"")</f>
      </c>
      <c r="F123" s="201">
        <f>IF($C123,'Proyecto Datos (OKR´s)'!$G123,"")</f>
      </c>
      <c r="G123" s="201">
        <f>IF($C123,IF('Proyecto Datos (OKR´s)'!$I123="","(Sin asignar)",'Proyecto Datos (OKR´s)'!$I123),"")</f>
      </c>
      <c r="H123" s="200">
        <f>IF($C123,IF(ISNUMBER('Proyecto Datos (OKR´s)'!$F123),'Proyecto Datos (OKR´s)'!$F123,'Proyecto Datos (OKR´s)'!$L123),"")</f>
      </c>
      <c r="I123" s="200">
        <f>IF($C123,'Proyecto Datos (OKR´s)'!$J123,"")</f>
      </c>
      <c r="J123" s="201">
        <f>IF($C123,IF($I123&gt;=1,"Completado",IF($H123&lt;TODAY(),"Vencido",IF(($H123-TODAY())&lt;='Entregas Próximas'!$I$3,"Próximo a vencer","En curso"))),"")</f>
      </c>
      <c r="K123" s="200">
        <f>IF($C123,$H123-TODAY(),"")</f>
      </c>
      <c r="L123" s="200">
        <f>IF($C123,$N123*1000000+$H123+ROW()/100000,"")</f>
      </c>
      <c r="M123" s="200">
        <f>IF($C123,IF('Proyecto Datos (OKR´s)'!$E123="","(Sin sprint)",'Proyecto Datos (OKR´s)'!$E123),"")</f>
      </c>
      <c r="N123" s="200">
        <f>IF($C123,IF('Proyecto Datos (OKR´s)'!$E123="",9999,'Proyecto Datos (OKR´s)'!$E123),"")</f>
      </c>
    </row>
    <row r="124">
      <c r="A124" s="200">
        <f>ROW()</f>
      </c>
      <c r="B124" s="200">
        <f>ISTEXT('Proyecto Datos (OKR´s)'!$K124)</f>
      </c>
      <c r="C124" s="200">
        <f>AND(LEN('Proyecto Datos (OKR´s)'!$G124)&gt;0,NOT($B124),OR(ISNUMBER('Proyecto Datos (OKR´s)'!$F124),ISNUMBER('Proyecto Datos (OKR´s)'!$L124)))</f>
      </c>
      <c r="D124" s="201">
        <f>IF($C124,IFERROR(LOOKUP(2,1/((ISTEXT('Proyecto Datos (OKR´s)'!$K$7:$K124))*(LEN('Proyecto Datos (OKR´s)'!$G$7:$G124)&gt;0)),'Proyecto Datos (OKR´s)'!$G$7:$G124),""),"")</f>
      </c>
      <c r="E124" s="200">
        <f>IF($C124,'Proyecto Datos (OKR´s)'!$E124,"")</f>
      </c>
      <c r="F124" s="201">
        <f>IF($C124,'Proyecto Datos (OKR´s)'!$G124,"")</f>
      </c>
      <c r="G124" s="201">
        <f>IF($C124,IF('Proyecto Datos (OKR´s)'!$I124="","(Sin asignar)",'Proyecto Datos (OKR´s)'!$I124),"")</f>
      </c>
      <c r="H124" s="200">
        <f>IF($C124,IF(ISNUMBER('Proyecto Datos (OKR´s)'!$F124),'Proyecto Datos (OKR´s)'!$F124,'Proyecto Datos (OKR´s)'!$L124),"")</f>
      </c>
      <c r="I124" s="200">
        <f>IF($C124,'Proyecto Datos (OKR´s)'!$J124,"")</f>
      </c>
      <c r="J124" s="201">
        <f>IF($C124,IF($I124&gt;=1,"Completado",IF($H124&lt;TODAY(),"Vencido",IF(($H124-TODAY())&lt;='Entregas Próximas'!$I$3,"Próximo a vencer","En curso"))),"")</f>
      </c>
      <c r="K124" s="200">
        <f>IF($C124,$H124-TODAY(),"")</f>
      </c>
      <c r="L124" s="200">
        <f>IF($C124,$N124*1000000+$H124+ROW()/100000,"")</f>
      </c>
      <c r="M124" s="200">
        <f>IF($C124,IF('Proyecto Datos (OKR´s)'!$E124="","(Sin sprint)",'Proyecto Datos (OKR´s)'!$E124),"")</f>
      </c>
      <c r="N124" s="200">
        <f>IF($C124,IF('Proyecto Datos (OKR´s)'!$E124="",9999,'Proyecto Datos (OKR´s)'!$E124),"")</f>
      </c>
    </row>
    <row r="125">
      <c r="A125" s="200">
        <f>ROW()</f>
      </c>
      <c r="B125" s="200">
        <f>ISTEXT('Proyecto Datos (OKR´s)'!$K125)</f>
      </c>
      <c r="C125" s="200">
        <f>AND(LEN('Proyecto Datos (OKR´s)'!$G125)&gt;0,NOT($B125),OR(ISNUMBER('Proyecto Datos (OKR´s)'!$F125),ISNUMBER('Proyecto Datos (OKR´s)'!$L125)))</f>
      </c>
      <c r="D125" s="201">
        <f>IF($C125,IFERROR(LOOKUP(2,1/((ISTEXT('Proyecto Datos (OKR´s)'!$K$7:$K125))*(LEN('Proyecto Datos (OKR´s)'!$G$7:$G125)&gt;0)),'Proyecto Datos (OKR´s)'!$G$7:$G125),""),"")</f>
      </c>
      <c r="E125" s="200">
        <f>IF($C125,'Proyecto Datos (OKR´s)'!$E125,"")</f>
      </c>
      <c r="F125" s="201">
        <f>IF($C125,'Proyecto Datos (OKR´s)'!$G125,"")</f>
      </c>
      <c r="G125" s="201">
        <f>IF($C125,IF('Proyecto Datos (OKR´s)'!$I125="","(Sin asignar)",'Proyecto Datos (OKR´s)'!$I125),"")</f>
      </c>
      <c r="H125" s="200">
        <f>IF($C125,IF(ISNUMBER('Proyecto Datos (OKR´s)'!$F125),'Proyecto Datos (OKR´s)'!$F125,'Proyecto Datos (OKR´s)'!$L125),"")</f>
      </c>
      <c r="I125" s="200">
        <f>IF($C125,'Proyecto Datos (OKR´s)'!$J125,"")</f>
      </c>
      <c r="J125" s="201">
        <f>IF($C125,IF($I125&gt;=1,"Completado",IF($H125&lt;TODAY(),"Vencido",IF(($H125-TODAY())&lt;='Entregas Próximas'!$I$3,"Próximo a vencer","En curso"))),"")</f>
      </c>
      <c r="K125" s="200">
        <f>IF($C125,$H125-TODAY(),"")</f>
      </c>
      <c r="L125" s="200">
        <f>IF($C125,$N125*1000000+$H125+ROW()/100000,"")</f>
      </c>
      <c r="M125" s="200">
        <f>IF($C125,IF('Proyecto Datos (OKR´s)'!$E125="","(Sin sprint)",'Proyecto Datos (OKR´s)'!$E125),"")</f>
      </c>
      <c r="N125" s="200">
        <f>IF($C125,IF('Proyecto Datos (OKR´s)'!$E125="",9999,'Proyecto Datos (OKR´s)'!$E125),"")</f>
      </c>
    </row>
    <row r="126">
      <c r="A126" s="200">
        <f>ROW()</f>
      </c>
      <c r="B126" s="200">
        <f>ISTEXT('Proyecto Datos (OKR´s)'!$K126)</f>
      </c>
      <c r="C126" s="200">
        <f>AND(LEN('Proyecto Datos (OKR´s)'!$G126)&gt;0,NOT($B126),OR(ISNUMBER('Proyecto Datos (OKR´s)'!$F126),ISNUMBER('Proyecto Datos (OKR´s)'!$L126)))</f>
      </c>
      <c r="D126" s="201">
        <f>IF($C126,IFERROR(LOOKUP(2,1/((ISTEXT('Proyecto Datos (OKR´s)'!$K$7:$K126))*(LEN('Proyecto Datos (OKR´s)'!$G$7:$G126)&gt;0)),'Proyecto Datos (OKR´s)'!$G$7:$G126),""),"")</f>
      </c>
      <c r="E126" s="200">
        <f>IF($C126,'Proyecto Datos (OKR´s)'!$E126,"")</f>
      </c>
      <c r="F126" s="201">
        <f>IF($C126,'Proyecto Datos (OKR´s)'!$G126,"")</f>
      </c>
      <c r="G126" s="201">
        <f>IF($C126,IF('Proyecto Datos (OKR´s)'!$I126="","(Sin asignar)",'Proyecto Datos (OKR´s)'!$I126),"")</f>
      </c>
      <c r="H126" s="200">
        <f>IF($C126,IF(ISNUMBER('Proyecto Datos (OKR´s)'!$F126),'Proyecto Datos (OKR´s)'!$F126,'Proyecto Datos (OKR´s)'!$L126),"")</f>
      </c>
      <c r="I126" s="200">
        <f>IF($C126,'Proyecto Datos (OKR´s)'!$J126,"")</f>
      </c>
      <c r="J126" s="201">
        <f>IF($C126,IF($I126&gt;=1,"Completado",IF($H126&lt;TODAY(),"Vencido",IF(($H126-TODAY())&lt;='Entregas Próximas'!$I$3,"Próximo a vencer","En curso"))),"")</f>
      </c>
      <c r="K126" s="200">
        <f>IF($C126,$H126-TODAY(),"")</f>
      </c>
      <c r="L126" s="200">
        <f>IF($C126,$N126*1000000+$H126+ROW()/100000,"")</f>
      </c>
      <c r="M126" s="200">
        <f>IF($C126,IF('Proyecto Datos (OKR´s)'!$E126="","(Sin sprint)",'Proyecto Datos (OKR´s)'!$E126),"")</f>
      </c>
      <c r="N126" s="200">
        <f>IF($C126,IF('Proyecto Datos (OKR´s)'!$E126="",9999,'Proyecto Datos (OKR´s)'!$E126),"")</f>
      </c>
    </row>
    <row r="127">
      <c r="A127" s="200">
        <f>ROW()</f>
      </c>
      <c r="B127" s="200">
        <f>ISTEXT('Proyecto Datos (OKR´s)'!$K127)</f>
      </c>
      <c r="C127" s="200">
        <f>AND(LEN('Proyecto Datos (OKR´s)'!$G127)&gt;0,NOT($B127),OR(ISNUMBER('Proyecto Datos (OKR´s)'!$F127),ISNUMBER('Proyecto Datos (OKR´s)'!$L127)))</f>
      </c>
      <c r="D127" s="201">
        <f>IF($C127,IFERROR(LOOKUP(2,1/((ISTEXT('Proyecto Datos (OKR´s)'!$K$7:$K127))*(LEN('Proyecto Datos (OKR´s)'!$G$7:$G127)&gt;0)),'Proyecto Datos (OKR´s)'!$G$7:$G127),""),"")</f>
      </c>
      <c r="E127" s="200">
        <f>IF($C127,'Proyecto Datos (OKR´s)'!$E127,"")</f>
      </c>
      <c r="F127" s="201">
        <f>IF($C127,'Proyecto Datos (OKR´s)'!$G127,"")</f>
      </c>
      <c r="G127" s="201">
        <f>IF($C127,IF('Proyecto Datos (OKR´s)'!$I127="","(Sin asignar)",'Proyecto Datos (OKR´s)'!$I127),"")</f>
      </c>
      <c r="H127" s="200">
        <f>IF($C127,IF(ISNUMBER('Proyecto Datos (OKR´s)'!$F127),'Proyecto Datos (OKR´s)'!$F127,'Proyecto Datos (OKR´s)'!$L127),"")</f>
      </c>
      <c r="I127" s="200">
        <f>IF($C127,'Proyecto Datos (OKR´s)'!$J127,"")</f>
      </c>
      <c r="J127" s="201">
        <f>IF($C127,IF($I127&gt;=1,"Completado",IF($H127&lt;TODAY(),"Vencido",IF(($H127-TODAY())&lt;='Entregas Próximas'!$I$3,"Próximo a vencer","En curso"))),"")</f>
      </c>
      <c r="K127" s="200">
        <f>IF($C127,$H127-TODAY(),"")</f>
      </c>
      <c r="L127" s="200">
        <f>IF($C127,$N127*1000000+$H127+ROW()/100000,"")</f>
      </c>
      <c r="M127" s="200">
        <f>IF($C127,IF('Proyecto Datos (OKR´s)'!$E127="","(Sin sprint)",'Proyecto Datos (OKR´s)'!$E127),"")</f>
      </c>
      <c r="N127" s="200">
        <f>IF($C127,IF('Proyecto Datos (OKR´s)'!$E127="",9999,'Proyecto Datos (OKR´s)'!$E127),"")</f>
      </c>
    </row>
    <row r="128">
      <c r="A128" s="200">
        <f>ROW()</f>
      </c>
      <c r="B128" s="200">
        <f>ISTEXT('Proyecto Datos (OKR´s)'!$K128)</f>
      </c>
      <c r="C128" s="200">
        <f>AND(LEN('Proyecto Datos (OKR´s)'!$G128)&gt;0,NOT($B128),OR(ISNUMBER('Proyecto Datos (OKR´s)'!$F128),ISNUMBER('Proyecto Datos (OKR´s)'!$L128)))</f>
      </c>
      <c r="D128" s="201">
        <f>IF($C128,IFERROR(LOOKUP(2,1/((ISTEXT('Proyecto Datos (OKR´s)'!$K$7:$K128))*(LEN('Proyecto Datos (OKR´s)'!$G$7:$G128)&gt;0)),'Proyecto Datos (OKR´s)'!$G$7:$G128),""),"")</f>
      </c>
      <c r="E128" s="200">
        <f>IF($C128,'Proyecto Datos (OKR´s)'!$E128,"")</f>
      </c>
      <c r="F128" s="201">
        <f>IF($C128,'Proyecto Datos (OKR´s)'!$G128,"")</f>
      </c>
      <c r="G128" s="201">
        <f>IF($C128,IF('Proyecto Datos (OKR´s)'!$I128="","(Sin asignar)",'Proyecto Datos (OKR´s)'!$I128),"")</f>
      </c>
      <c r="H128" s="200">
        <f>IF($C128,IF(ISNUMBER('Proyecto Datos (OKR´s)'!$F128),'Proyecto Datos (OKR´s)'!$F128,'Proyecto Datos (OKR´s)'!$L128),"")</f>
      </c>
      <c r="I128" s="200">
        <f>IF($C128,'Proyecto Datos (OKR´s)'!$J128,"")</f>
      </c>
      <c r="J128" s="201">
        <f>IF($C128,IF($I128&gt;=1,"Completado",IF($H128&lt;TODAY(),"Vencido",IF(($H128-TODAY())&lt;='Entregas Próximas'!$I$3,"Próximo a vencer","En curso"))),"")</f>
      </c>
      <c r="K128" s="200">
        <f>IF($C128,$H128-TODAY(),"")</f>
      </c>
      <c r="L128" s="200">
        <f>IF($C128,$N128*1000000+$H128+ROW()/100000,"")</f>
      </c>
      <c r="M128" s="200">
        <f>IF($C128,IF('Proyecto Datos (OKR´s)'!$E128="","(Sin sprint)",'Proyecto Datos (OKR´s)'!$E128),"")</f>
      </c>
      <c r="N128" s="200">
        <f>IF($C128,IF('Proyecto Datos (OKR´s)'!$E128="",9999,'Proyecto Datos (OKR´s)'!$E128),"")</f>
      </c>
    </row>
    <row r="129">
      <c r="A129" s="200">
        <f>ROW()</f>
      </c>
      <c r="B129" s="200">
        <f>ISTEXT('Proyecto Datos (OKR´s)'!$K129)</f>
      </c>
      <c r="C129" s="200">
        <f>AND(LEN('Proyecto Datos (OKR´s)'!$G129)&gt;0,NOT($B129),OR(ISNUMBER('Proyecto Datos (OKR´s)'!$F129),ISNUMBER('Proyecto Datos (OKR´s)'!$L129)))</f>
      </c>
      <c r="D129" s="201">
        <f>IF($C129,IFERROR(LOOKUP(2,1/((ISTEXT('Proyecto Datos (OKR´s)'!$K$7:$K129))*(LEN('Proyecto Datos (OKR´s)'!$G$7:$G129)&gt;0)),'Proyecto Datos (OKR´s)'!$G$7:$G129),""),"")</f>
      </c>
      <c r="E129" s="200">
        <f>IF($C129,'Proyecto Datos (OKR´s)'!$E129,"")</f>
      </c>
      <c r="F129" s="201">
        <f>IF($C129,'Proyecto Datos (OKR´s)'!$G129,"")</f>
      </c>
      <c r="G129" s="201">
        <f>IF($C129,IF('Proyecto Datos (OKR´s)'!$I129="","(Sin asignar)",'Proyecto Datos (OKR´s)'!$I129),"")</f>
      </c>
      <c r="H129" s="200">
        <f>IF($C129,IF(ISNUMBER('Proyecto Datos (OKR´s)'!$F129),'Proyecto Datos (OKR´s)'!$F129,'Proyecto Datos (OKR´s)'!$L129),"")</f>
      </c>
      <c r="I129" s="200">
        <f>IF($C129,'Proyecto Datos (OKR´s)'!$J129,"")</f>
      </c>
      <c r="J129" s="201">
        <f>IF($C129,IF($I129&gt;=1,"Completado",IF($H129&lt;TODAY(),"Vencido",IF(($H129-TODAY())&lt;='Entregas Próximas'!$I$3,"Próximo a vencer","En curso"))),"")</f>
      </c>
      <c r="K129" s="200">
        <f>IF($C129,$H129-TODAY(),"")</f>
      </c>
      <c r="L129" s="200">
        <f>IF($C129,$N129*1000000+$H129+ROW()/100000,"")</f>
      </c>
      <c r="M129" s="200">
        <f>IF($C129,IF('Proyecto Datos (OKR´s)'!$E129="","(Sin sprint)",'Proyecto Datos (OKR´s)'!$E129),"")</f>
      </c>
      <c r="N129" s="200">
        <f>IF($C129,IF('Proyecto Datos (OKR´s)'!$E129="",9999,'Proyecto Datos (OKR´s)'!$E129),"")</f>
      </c>
    </row>
    <row r="130">
      <c r="A130" s="200">
        <f>ROW()</f>
      </c>
      <c r="B130" s="200">
        <f>ISTEXT('Proyecto Datos (OKR´s)'!$K130)</f>
      </c>
      <c r="C130" s="200">
        <f>AND(LEN('Proyecto Datos (OKR´s)'!$G130)&gt;0,NOT($B130),OR(ISNUMBER('Proyecto Datos (OKR´s)'!$F130),ISNUMBER('Proyecto Datos (OKR´s)'!$L130)))</f>
      </c>
      <c r="D130" s="201">
        <f>IF($C130,IFERROR(LOOKUP(2,1/((ISTEXT('Proyecto Datos (OKR´s)'!$K$7:$K130))*(LEN('Proyecto Datos (OKR´s)'!$G$7:$G130)&gt;0)),'Proyecto Datos (OKR´s)'!$G$7:$G130),""),"")</f>
      </c>
      <c r="E130" s="200">
        <f>IF($C130,'Proyecto Datos (OKR´s)'!$E130,"")</f>
      </c>
      <c r="F130" s="201">
        <f>IF($C130,'Proyecto Datos (OKR´s)'!$G130,"")</f>
      </c>
      <c r="G130" s="201">
        <f>IF($C130,IF('Proyecto Datos (OKR´s)'!$I130="","(Sin asignar)",'Proyecto Datos (OKR´s)'!$I130),"")</f>
      </c>
      <c r="H130" s="200">
        <f>IF($C130,IF(ISNUMBER('Proyecto Datos (OKR´s)'!$F130),'Proyecto Datos (OKR´s)'!$F130,'Proyecto Datos (OKR´s)'!$L130),"")</f>
      </c>
      <c r="I130" s="200">
        <f>IF($C130,'Proyecto Datos (OKR´s)'!$J130,"")</f>
      </c>
      <c r="J130" s="201">
        <f>IF($C130,IF($I130&gt;=1,"Completado",IF($H130&lt;TODAY(),"Vencido",IF(($H130-TODAY())&lt;='Entregas Próximas'!$I$3,"Próximo a vencer","En curso"))),"")</f>
      </c>
      <c r="K130" s="200">
        <f>IF($C130,$H130-TODAY(),"")</f>
      </c>
      <c r="L130" s="200">
        <f>IF($C130,$N130*1000000+$H130+ROW()/100000,"")</f>
      </c>
      <c r="M130" s="200">
        <f>IF($C130,IF('Proyecto Datos (OKR´s)'!$E130="","(Sin sprint)",'Proyecto Datos (OKR´s)'!$E130),"")</f>
      </c>
      <c r="N130" s="200">
        <f>IF($C130,IF('Proyecto Datos (OKR´s)'!$E130="",9999,'Proyecto Datos (OKR´s)'!$E130),"")</f>
      </c>
    </row>
    <row r="131">
      <c r="A131" s="200">
        <f>ROW()</f>
      </c>
      <c r="B131" s="200">
        <f>ISTEXT('Proyecto Datos (OKR´s)'!$K131)</f>
      </c>
      <c r="C131" s="200">
        <f>AND(LEN('Proyecto Datos (OKR´s)'!$G131)&gt;0,NOT($B131),OR(ISNUMBER('Proyecto Datos (OKR´s)'!$F131),ISNUMBER('Proyecto Datos (OKR´s)'!$L131)))</f>
      </c>
      <c r="D131" s="201">
        <f>IF($C131,IFERROR(LOOKUP(2,1/((ISTEXT('Proyecto Datos (OKR´s)'!$K$7:$K131))*(LEN('Proyecto Datos (OKR´s)'!$G$7:$G131)&gt;0)),'Proyecto Datos (OKR´s)'!$G$7:$G131),""),"")</f>
      </c>
      <c r="E131" s="200">
        <f>IF($C131,'Proyecto Datos (OKR´s)'!$E131,"")</f>
      </c>
      <c r="F131" s="201">
        <f>IF($C131,'Proyecto Datos (OKR´s)'!$G131,"")</f>
      </c>
      <c r="G131" s="201">
        <f>IF($C131,IF('Proyecto Datos (OKR´s)'!$I131="","(Sin asignar)",'Proyecto Datos (OKR´s)'!$I131),"")</f>
      </c>
      <c r="H131" s="200">
        <f>IF($C131,IF(ISNUMBER('Proyecto Datos (OKR´s)'!$F131),'Proyecto Datos (OKR´s)'!$F131,'Proyecto Datos (OKR´s)'!$L131),"")</f>
      </c>
      <c r="I131" s="200">
        <f>IF($C131,'Proyecto Datos (OKR´s)'!$J131,"")</f>
      </c>
      <c r="J131" s="201">
        <f>IF($C131,IF($I131&gt;=1,"Completado",IF($H131&lt;TODAY(),"Vencido",IF(($H131-TODAY())&lt;='Entregas Próximas'!$I$3,"Próximo a vencer","En curso"))),"")</f>
      </c>
      <c r="K131" s="200">
        <f>IF($C131,$H131-TODAY(),"")</f>
      </c>
      <c r="L131" s="200">
        <f>IF($C131,$N131*1000000+$H131+ROW()/100000,"")</f>
      </c>
      <c r="M131" s="200">
        <f>IF($C131,IF('Proyecto Datos (OKR´s)'!$E131="","(Sin sprint)",'Proyecto Datos (OKR´s)'!$E131),"")</f>
      </c>
      <c r="N131" s="200">
        <f>IF($C131,IF('Proyecto Datos (OKR´s)'!$E131="",9999,'Proyecto Datos (OKR´s)'!$E131),"")</f>
      </c>
    </row>
    <row r="132">
      <c r="A132" s="200">
        <f>ROW()</f>
      </c>
      <c r="B132" s="200">
        <f>ISTEXT('Proyecto Datos (OKR´s)'!$K132)</f>
      </c>
      <c r="C132" s="200">
        <f>AND(LEN('Proyecto Datos (OKR´s)'!$G132)&gt;0,NOT($B132),OR(ISNUMBER('Proyecto Datos (OKR´s)'!$F132),ISNUMBER('Proyecto Datos (OKR´s)'!$L132)))</f>
      </c>
      <c r="D132" s="201">
        <f>IF($C132,IFERROR(LOOKUP(2,1/((ISTEXT('Proyecto Datos (OKR´s)'!$K$7:$K132))*(LEN('Proyecto Datos (OKR´s)'!$G$7:$G132)&gt;0)),'Proyecto Datos (OKR´s)'!$G$7:$G132),""),"")</f>
      </c>
      <c r="E132" s="200">
        <f>IF($C132,'Proyecto Datos (OKR´s)'!$E132,"")</f>
      </c>
      <c r="F132" s="201">
        <f>IF($C132,'Proyecto Datos (OKR´s)'!$G132,"")</f>
      </c>
      <c r="G132" s="201">
        <f>IF($C132,IF('Proyecto Datos (OKR´s)'!$I132="","(Sin asignar)",'Proyecto Datos (OKR´s)'!$I132),"")</f>
      </c>
      <c r="H132" s="200">
        <f>IF($C132,IF(ISNUMBER('Proyecto Datos (OKR´s)'!$F132),'Proyecto Datos (OKR´s)'!$F132,'Proyecto Datos (OKR´s)'!$L132),"")</f>
      </c>
      <c r="I132" s="200">
        <f>IF($C132,'Proyecto Datos (OKR´s)'!$J132,"")</f>
      </c>
      <c r="J132" s="201">
        <f>IF($C132,IF($I132&gt;=1,"Completado",IF($H132&lt;TODAY(),"Vencido",IF(($H132-TODAY())&lt;='Entregas Próximas'!$I$3,"Próximo a vencer","En curso"))),"")</f>
      </c>
      <c r="K132" s="200">
        <f>IF($C132,$H132-TODAY(),"")</f>
      </c>
      <c r="L132" s="200">
        <f>IF($C132,$N132*1000000+$H132+ROW()/100000,"")</f>
      </c>
      <c r="M132" s="200">
        <f>IF($C132,IF('Proyecto Datos (OKR´s)'!$E132="","(Sin sprint)",'Proyecto Datos (OKR´s)'!$E132),"")</f>
      </c>
      <c r="N132" s="200">
        <f>IF($C132,IF('Proyecto Datos (OKR´s)'!$E132="",9999,'Proyecto Datos (OKR´s)'!$E132),"")</f>
      </c>
    </row>
    <row r="133">
      <c r="A133" s="200">
        <f>ROW()</f>
      </c>
      <c r="B133" s="200">
        <f>ISTEXT('Proyecto Datos (OKR´s)'!$K133)</f>
      </c>
      <c r="C133" s="200">
        <f>AND(LEN('Proyecto Datos (OKR´s)'!$G133)&gt;0,NOT($B133),OR(ISNUMBER('Proyecto Datos (OKR´s)'!$F133),ISNUMBER('Proyecto Datos (OKR´s)'!$L133)))</f>
      </c>
      <c r="D133" s="201">
        <f>IF($C133,IFERROR(LOOKUP(2,1/((ISTEXT('Proyecto Datos (OKR´s)'!$K$7:$K133))*(LEN('Proyecto Datos (OKR´s)'!$G$7:$G133)&gt;0)),'Proyecto Datos (OKR´s)'!$G$7:$G133),""),"")</f>
      </c>
      <c r="E133" s="200">
        <f>IF($C133,'Proyecto Datos (OKR´s)'!$E133,"")</f>
      </c>
      <c r="F133" s="201">
        <f>IF($C133,'Proyecto Datos (OKR´s)'!$G133,"")</f>
      </c>
      <c r="G133" s="201">
        <f>IF($C133,IF('Proyecto Datos (OKR´s)'!$I133="","(Sin asignar)",'Proyecto Datos (OKR´s)'!$I133),"")</f>
      </c>
      <c r="H133" s="200">
        <f>IF($C133,IF(ISNUMBER('Proyecto Datos (OKR´s)'!$F133),'Proyecto Datos (OKR´s)'!$F133,'Proyecto Datos (OKR´s)'!$L133),"")</f>
      </c>
      <c r="I133" s="200">
        <f>IF($C133,'Proyecto Datos (OKR´s)'!$J133,"")</f>
      </c>
      <c r="J133" s="201">
        <f>IF($C133,IF($I133&gt;=1,"Completado",IF($H133&lt;TODAY(),"Vencido",IF(($H133-TODAY())&lt;='Entregas Próximas'!$I$3,"Próximo a vencer","En curso"))),"")</f>
      </c>
      <c r="K133" s="200">
        <f>IF($C133,$H133-TODAY(),"")</f>
      </c>
      <c r="L133" s="200">
        <f>IF($C133,$N133*1000000+$H133+ROW()/100000,"")</f>
      </c>
      <c r="M133" s="200">
        <f>IF($C133,IF('Proyecto Datos (OKR´s)'!$E133="","(Sin sprint)",'Proyecto Datos (OKR´s)'!$E133),"")</f>
      </c>
      <c r="N133" s="200">
        <f>IF($C133,IF('Proyecto Datos (OKR´s)'!$E133="",9999,'Proyecto Datos (OKR´s)'!$E133),"")</f>
      </c>
    </row>
    <row r="134">
      <c r="A134" s="200">
        <f>ROW()</f>
      </c>
      <c r="B134" s="200">
        <f>ISTEXT('Proyecto Datos (OKR´s)'!$K134)</f>
      </c>
      <c r="C134" s="200">
        <f>AND(LEN('Proyecto Datos (OKR´s)'!$G134)&gt;0,NOT($B134),OR(ISNUMBER('Proyecto Datos (OKR´s)'!$F134),ISNUMBER('Proyecto Datos (OKR´s)'!$L134)))</f>
      </c>
      <c r="D134" s="201">
        <f>IF($C134,IFERROR(LOOKUP(2,1/((ISTEXT('Proyecto Datos (OKR´s)'!$K$7:$K134))*(LEN('Proyecto Datos (OKR´s)'!$G$7:$G134)&gt;0)),'Proyecto Datos (OKR´s)'!$G$7:$G134),""),"")</f>
      </c>
      <c r="E134" s="200">
        <f>IF($C134,'Proyecto Datos (OKR´s)'!$E134,"")</f>
      </c>
      <c r="F134" s="201">
        <f>IF($C134,'Proyecto Datos (OKR´s)'!$G134,"")</f>
      </c>
      <c r="G134" s="201">
        <f>IF($C134,IF('Proyecto Datos (OKR´s)'!$I134="","(Sin asignar)",'Proyecto Datos (OKR´s)'!$I134),"")</f>
      </c>
      <c r="H134" s="200">
        <f>IF($C134,IF(ISNUMBER('Proyecto Datos (OKR´s)'!$F134),'Proyecto Datos (OKR´s)'!$F134,'Proyecto Datos (OKR´s)'!$L134),"")</f>
      </c>
      <c r="I134" s="200">
        <f>IF($C134,'Proyecto Datos (OKR´s)'!$J134,"")</f>
      </c>
      <c r="J134" s="201">
        <f>IF($C134,IF($I134&gt;=1,"Completado",IF($H134&lt;TODAY(),"Vencido",IF(($H134-TODAY())&lt;='Entregas Próximas'!$I$3,"Próximo a vencer","En curso"))),"")</f>
      </c>
      <c r="K134" s="200">
        <f>IF($C134,$H134-TODAY(),"")</f>
      </c>
      <c r="L134" s="200">
        <f>IF($C134,$N134*1000000+$H134+ROW()/100000,"")</f>
      </c>
      <c r="M134" s="200">
        <f>IF($C134,IF('Proyecto Datos (OKR´s)'!$E134="","(Sin sprint)",'Proyecto Datos (OKR´s)'!$E134),"")</f>
      </c>
      <c r="N134" s="200">
        <f>IF($C134,IF('Proyecto Datos (OKR´s)'!$E134="",9999,'Proyecto Datos (OKR´s)'!$E134),"")</f>
      </c>
    </row>
    <row r="135">
      <c r="A135" s="200">
        <f>ROW()</f>
      </c>
      <c r="B135" s="200">
        <f>ISTEXT('Proyecto Datos (OKR´s)'!$K135)</f>
      </c>
      <c r="C135" s="200">
        <f>AND(LEN('Proyecto Datos (OKR´s)'!$G135)&gt;0,NOT($B135),OR(ISNUMBER('Proyecto Datos (OKR´s)'!$F135),ISNUMBER('Proyecto Datos (OKR´s)'!$L135)))</f>
      </c>
      <c r="D135" s="201">
        <f>IF($C135,IFERROR(LOOKUP(2,1/((ISTEXT('Proyecto Datos (OKR´s)'!$K$7:$K135))*(LEN('Proyecto Datos (OKR´s)'!$G$7:$G135)&gt;0)),'Proyecto Datos (OKR´s)'!$G$7:$G135),""),"")</f>
      </c>
      <c r="E135" s="200">
        <f>IF($C135,'Proyecto Datos (OKR´s)'!$E135,"")</f>
      </c>
      <c r="F135" s="201">
        <f>IF($C135,'Proyecto Datos (OKR´s)'!$G135,"")</f>
      </c>
      <c r="G135" s="201">
        <f>IF($C135,IF('Proyecto Datos (OKR´s)'!$I135="","(Sin asignar)",'Proyecto Datos (OKR´s)'!$I135),"")</f>
      </c>
      <c r="H135" s="200">
        <f>IF($C135,IF(ISNUMBER('Proyecto Datos (OKR´s)'!$F135),'Proyecto Datos (OKR´s)'!$F135,'Proyecto Datos (OKR´s)'!$L135),"")</f>
      </c>
      <c r="I135" s="200">
        <f>IF($C135,'Proyecto Datos (OKR´s)'!$J135,"")</f>
      </c>
      <c r="J135" s="201">
        <f>IF($C135,IF($I135&gt;=1,"Completado",IF($H135&lt;TODAY(),"Vencido",IF(($H135-TODAY())&lt;='Entregas Próximas'!$I$3,"Próximo a vencer","En curso"))),"")</f>
      </c>
      <c r="K135" s="200">
        <f>IF($C135,$H135-TODAY(),"")</f>
      </c>
      <c r="L135" s="200">
        <f>IF($C135,$N135*1000000+$H135+ROW()/100000,"")</f>
      </c>
      <c r="M135" s="200">
        <f>IF($C135,IF('Proyecto Datos (OKR´s)'!$E135="","(Sin sprint)",'Proyecto Datos (OKR´s)'!$E135),"")</f>
      </c>
      <c r="N135" s="200">
        <f>IF($C135,IF('Proyecto Datos (OKR´s)'!$E135="",9999,'Proyecto Datos (OKR´s)'!$E135),"")</f>
      </c>
    </row>
    <row r="136">
      <c r="A136" s="200">
        <f>ROW()</f>
      </c>
      <c r="B136" s="200">
        <f>ISTEXT('Proyecto Datos (OKR´s)'!$K136)</f>
      </c>
      <c r="C136" s="200">
        <f>AND(LEN('Proyecto Datos (OKR´s)'!$G136)&gt;0,NOT($B136),OR(ISNUMBER('Proyecto Datos (OKR´s)'!$F136),ISNUMBER('Proyecto Datos (OKR´s)'!$L136)))</f>
      </c>
      <c r="D136" s="201">
        <f>IF($C136,IFERROR(LOOKUP(2,1/((ISTEXT('Proyecto Datos (OKR´s)'!$K$7:$K136))*(LEN('Proyecto Datos (OKR´s)'!$G$7:$G136)&gt;0)),'Proyecto Datos (OKR´s)'!$G$7:$G136),""),"")</f>
      </c>
      <c r="E136" s="200">
        <f>IF($C136,'Proyecto Datos (OKR´s)'!$E136,"")</f>
      </c>
      <c r="F136" s="201">
        <f>IF($C136,'Proyecto Datos (OKR´s)'!$G136,"")</f>
      </c>
      <c r="G136" s="201">
        <f>IF($C136,IF('Proyecto Datos (OKR´s)'!$I136="","(Sin asignar)",'Proyecto Datos (OKR´s)'!$I136),"")</f>
      </c>
      <c r="H136" s="200">
        <f>IF($C136,IF(ISNUMBER('Proyecto Datos (OKR´s)'!$F136),'Proyecto Datos (OKR´s)'!$F136,'Proyecto Datos (OKR´s)'!$L136),"")</f>
      </c>
      <c r="I136" s="200">
        <f>IF($C136,'Proyecto Datos (OKR´s)'!$J136,"")</f>
      </c>
      <c r="J136" s="201">
        <f>IF($C136,IF($I136&gt;=1,"Completado",IF($H136&lt;TODAY(),"Vencido",IF(($H136-TODAY())&lt;='Entregas Próximas'!$I$3,"Próximo a vencer","En curso"))),"")</f>
      </c>
      <c r="K136" s="200">
        <f>IF($C136,$H136-TODAY(),"")</f>
      </c>
      <c r="L136" s="200">
        <f>IF($C136,$N136*1000000+$H136+ROW()/100000,"")</f>
      </c>
      <c r="M136" s="200">
        <f>IF($C136,IF('Proyecto Datos (OKR´s)'!$E136="","(Sin sprint)",'Proyecto Datos (OKR´s)'!$E136),"")</f>
      </c>
      <c r="N136" s="200">
        <f>IF($C136,IF('Proyecto Datos (OKR´s)'!$E136="",9999,'Proyecto Datos (OKR´s)'!$E136),"")</f>
      </c>
    </row>
    <row r="137">
      <c r="A137" s="200">
        <f>ROW()</f>
      </c>
      <c r="B137" s="200">
        <f>ISTEXT('Proyecto Datos (OKR´s)'!$K137)</f>
      </c>
      <c r="C137" s="200">
        <f>AND(LEN('Proyecto Datos (OKR´s)'!$G137)&gt;0,NOT($B137),OR(ISNUMBER('Proyecto Datos (OKR´s)'!$F137),ISNUMBER('Proyecto Datos (OKR´s)'!$L137)))</f>
      </c>
      <c r="D137" s="201">
        <f>IF($C137,IFERROR(LOOKUP(2,1/((ISTEXT('Proyecto Datos (OKR´s)'!$K$7:$K137))*(LEN('Proyecto Datos (OKR´s)'!$G$7:$G137)&gt;0)),'Proyecto Datos (OKR´s)'!$G$7:$G137),""),"")</f>
      </c>
      <c r="E137" s="200">
        <f>IF($C137,'Proyecto Datos (OKR´s)'!$E137,"")</f>
      </c>
      <c r="F137" s="201">
        <f>IF($C137,'Proyecto Datos (OKR´s)'!$G137,"")</f>
      </c>
      <c r="G137" s="201">
        <f>IF($C137,IF('Proyecto Datos (OKR´s)'!$I137="","(Sin asignar)",'Proyecto Datos (OKR´s)'!$I137),"")</f>
      </c>
      <c r="H137" s="200">
        <f>IF($C137,IF(ISNUMBER('Proyecto Datos (OKR´s)'!$F137),'Proyecto Datos (OKR´s)'!$F137,'Proyecto Datos (OKR´s)'!$L137),"")</f>
      </c>
      <c r="I137" s="200">
        <f>IF($C137,'Proyecto Datos (OKR´s)'!$J137,"")</f>
      </c>
      <c r="J137" s="201">
        <f>IF($C137,IF($I137&gt;=1,"Completado",IF($H137&lt;TODAY(),"Vencido",IF(($H137-TODAY())&lt;='Entregas Próximas'!$I$3,"Próximo a vencer","En curso"))),"")</f>
      </c>
      <c r="K137" s="200">
        <f>IF($C137,$H137-TODAY(),"")</f>
      </c>
      <c r="L137" s="200">
        <f>IF($C137,$N137*1000000+$H137+ROW()/100000,"")</f>
      </c>
      <c r="M137" s="200">
        <f>IF($C137,IF('Proyecto Datos (OKR´s)'!$E137="","(Sin sprint)",'Proyecto Datos (OKR´s)'!$E137),"")</f>
      </c>
      <c r="N137" s="200">
        <f>IF($C137,IF('Proyecto Datos (OKR´s)'!$E137="",9999,'Proyecto Datos (OKR´s)'!$E137),"")</f>
      </c>
    </row>
    <row r="138">
      <c r="A138" s="200">
        <f>ROW()</f>
      </c>
      <c r="B138" s="200">
        <f>ISTEXT('Proyecto Datos (OKR´s)'!$K138)</f>
      </c>
      <c r="C138" s="200">
        <f>AND(LEN('Proyecto Datos (OKR´s)'!$G138)&gt;0,NOT($B138),OR(ISNUMBER('Proyecto Datos (OKR´s)'!$F138),ISNUMBER('Proyecto Datos (OKR´s)'!$L138)))</f>
      </c>
      <c r="D138" s="201">
        <f>IF($C138,IFERROR(LOOKUP(2,1/((ISTEXT('Proyecto Datos (OKR´s)'!$K$7:$K138))*(LEN('Proyecto Datos (OKR´s)'!$G$7:$G138)&gt;0)),'Proyecto Datos (OKR´s)'!$G$7:$G138),""),"")</f>
      </c>
      <c r="E138" s="200">
        <f>IF($C138,'Proyecto Datos (OKR´s)'!$E138,"")</f>
      </c>
      <c r="F138" s="201">
        <f>IF($C138,'Proyecto Datos (OKR´s)'!$G138,"")</f>
      </c>
      <c r="G138" s="201">
        <f>IF($C138,IF('Proyecto Datos (OKR´s)'!$I138="","(Sin asignar)",'Proyecto Datos (OKR´s)'!$I138),"")</f>
      </c>
      <c r="H138" s="200">
        <f>IF($C138,IF(ISNUMBER('Proyecto Datos (OKR´s)'!$F138),'Proyecto Datos (OKR´s)'!$F138,'Proyecto Datos (OKR´s)'!$L138),"")</f>
      </c>
      <c r="I138" s="200">
        <f>IF($C138,'Proyecto Datos (OKR´s)'!$J138,"")</f>
      </c>
      <c r="J138" s="201">
        <f>IF($C138,IF($I138&gt;=1,"Completado",IF($H138&lt;TODAY(),"Vencido",IF(($H138-TODAY())&lt;='Entregas Próximas'!$I$3,"Próximo a vencer","En curso"))),"")</f>
      </c>
      <c r="K138" s="200">
        <f>IF($C138,$H138-TODAY(),"")</f>
      </c>
      <c r="L138" s="200">
        <f>IF($C138,$N138*1000000+$H138+ROW()/100000,"")</f>
      </c>
      <c r="M138" s="200">
        <f>IF($C138,IF('Proyecto Datos (OKR´s)'!$E138="","(Sin sprint)",'Proyecto Datos (OKR´s)'!$E138),"")</f>
      </c>
      <c r="N138" s="200">
        <f>IF($C138,IF('Proyecto Datos (OKR´s)'!$E138="",9999,'Proyecto Datos (OKR´s)'!$E138),"")</f>
      </c>
    </row>
    <row r="139">
      <c r="A139" s="200">
        <f>ROW()</f>
      </c>
      <c r="B139" s="200">
        <f>ISTEXT('Proyecto Datos (OKR´s)'!$K139)</f>
      </c>
      <c r="C139" s="200">
        <f>AND(LEN('Proyecto Datos (OKR´s)'!$G139)&gt;0,NOT($B139),OR(ISNUMBER('Proyecto Datos (OKR´s)'!$F139),ISNUMBER('Proyecto Datos (OKR´s)'!$L139)))</f>
      </c>
      <c r="D139" s="201">
        <f>IF($C139,IFERROR(LOOKUP(2,1/((ISTEXT('Proyecto Datos (OKR´s)'!$K$7:$K139))*(LEN('Proyecto Datos (OKR´s)'!$G$7:$G139)&gt;0)),'Proyecto Datos (OKR´s)'!$G$7:$G139),""),"")</f>
      </c>
      <c r="E139" s="200">
        <f>IF($C139,'Proyecto Datos (OKR´s)'!$E139,"")</f>
      </c>
      <c r="F139" s="201">
        <f>IF($C139,'Proyecto Datos (OKR´s)'!$G139,"")</f>
      </c>
      <c r="G139" s="201">
        <f>IF($C139,IF('Proyecto Datos (OKR´s)'!$I139="","(Sin asignar)",'Proyecto Datos (OKR´s)'!$I139),"")</f>
      </c>
      <c r="H139" s="200">
        <f>IF($C139,IF(ISNUMBER('Proyecto Datos (OKR´s)'!$F139),'Proyecto Datos (OKR´s)'!$F139,'Proyecto Datos (OKR´s)'!$L139),"")</f>
      </c>
      <c r="I139" s="200">
        <f>IF($C139,'Proyecto Datos (OKR´s)'!$J139,"")</f>
      </c>
      <c r="J139" s="201">
        <f>IF($C139,IF($I139&gt;=1,"Completado",IF($H139&lt;TODAY(),"Vencido",IF(($H139-TODAY())&lt;='Entregas Próximas'!$I$3,"Próximo a vencer","En curso"))),"")</f>
      </c>
      <c r="K139" s="200">
        <f>IF($C139,$H139-TODAY(),"")</f>
      </c>
      <c r="L139" s="200">
        <f>IF($C139,$N139*1000000+$H139+ROW()/100000,"")</f>
      </c>
      <c r="M139" s="200">
        <f>IF($C139,IF('Proyecto Datos (OKR´s)'!$E139="","(Sin sprint)",'Proyecto Datos (OKR´s)'!$E139),"")</f>
      </c>
      <c r="N139" s="200">
        <f>IF($C139,IF('Proyecto Datos (OKR´s)'!$E139="",9999,'Proyecto Datos (OKR´s)'!$E139),"")</f>
      </c>
    </row>
    <row r="140">
      <c r="A140" s="200">
        <f>ROW()</f>
      </c>
      <c r="B140" s="200">
        <f>ISTEXT('Proyecto Datos (OKR´s)'!$K140)</f>
      </c>
      <c r="C140" s="200">
        <f>AND(LEN('Proyecto Datos (OKR´s)'!$G140)&gt;0,NOT($B140),OR(ISNUMBER('Proyecto Datos (OKR´s)'!$F140),ISNUMBER('Proyecto Datos (OKR´s)'!$L140)))</f>
      </c>
      <c r="D140" s="201">
        <f>IF($C140,IFERROR(LOOKUP(2,1/((ISTEXT('Proyecto Datos (OKR´s)'!$K$7:$K140))*(LEN('Proyecto Datos (OKR´s)'!$G$7:$G140)&gt;0)),'Proyecto Datos (OKR´s)'!$G$7:$G140),""),"")</f>
      </c>
      <c r="E140" s="200">
        <f>IF($C140,'Proyecto Datos (OKR´s)'!$E140,"")</f>
      </c>
      <c r="F140" s="201">
        <f>IF($C140,'Proyecto Datos (OKR´s)'!$G140,"")</f>
      </c>
      <c r="G140" s="201">
        <f>IF($C140,IF('Proyecto Datos (OKR´s)'!$I140="","(Sin asignar)",'Proyecto Datos (OKR´s)'!$I140),"")</f>
      </c>
      <c r="H140" s="200">
        <f>IF($C140,IF(ISNUMBER('Proyecto Datos (OKR´s)'!$F140),'Proyecto Datos (OKR´s)'!$F140,'Proyecto Datos (OKR´s)'!$L140),"")</f>
      </c>
      <c r="I140" s="200">
        <f>IF($C140,'Proyecto Datos (OKR´s)'!$J140,"")</f>
      </c>
      <c r="J140" s="201">
        <f>IF($C140,IF($I140&gt;=1,"Completado",IF($H140&lt;TODAY(),"Vencido",IF(($H140-TODAY())&lt;='Entregas Próximas'!$I$3,"Próximo a vencer","En curso"))),"")</f>
      </c>
      <c r="K140" s="200">
        <f>IF($C140,$H140-TODAY(),"")</f>
      </c>
      <c r="L140" s="200">
        <f>IF($C140,$N140*1000000+$H140+ROW()/100000,"")</f>
      </c>
      <c r="M140" s="200">
        <f>IF($C140,IF('Proyecto Datos (OKR´s)'!$E140="","(Sin sprint)",'Proyecto Datos (OKR´s)'!$E140),"")</f>
      </c>
      <c r="N140" s="200">
        <f>IF($C140,IF('Proyecto Datos (OKR´s)'!$E140="",9999,'Proyecto Datos (OKR´s)'!$E140),"")</f>
      </c>
    </row>
    <row r="141">
      <c r="A141" s="200">
        <f>ROW()</f>
      </c>
      <c r="B141" s="200">
        <f>ISTEXT('Proyecto Datos (OKR´s)'!$K141)</f>
      </c>
      <c r="C141" s="200">
        <f>AND(LEN('Proyecto Datos (OKR´s)'!$G141)&gt;0,NOT($B141),OR(ISNUMBER('Proyecto Datos (OKR´s)'!$F141),ISNUMBER('Proyecto Datos (OKR´s)'!$L141)))</f>
      </c>
      <c r="D141" s="201">
        <f>IF($C141,IFERROR(LOOKUP(2,1/((ISTEXT('Proyecto Datos (OKR´s)'!$K$7:$K141))*(LEN('Proyecto Datos (OKR´s)'!$G$7:$G141)&gt;0)),'Proyecto Datos (OKR´s)'!$G$7:$G141),""),"")</f>
      </c>
      <c r="E141" s="200">
        <f>IF($C141,'Proyecto Datos (OKR´s)'!$E141,"")</f>
      </c>
      <c r="F141" s="201">
        <f>IF($C141,'Proyecto Datos (OKR´s)'!$G141,"")</f>
      </c>
      <c r="G141" s="201">
        <f>IF($C141,IF('Proyecto Datos (OKR´s)'!$I141="","(Sin asignar)",'Proyecto Datos (OKR´s)'!$I141),"")</f>
      </c>
      <c r="H141" s="200">
        <f>IF($C141,IF(ISNUMBER('Proyecto Datos (OKR´s)'!$F141),'Proyecto Datos (OKR´s)'!$F141,'Proyecto Datos (OKR´s)'!$L141),"")</f>
      </c>
      <c r="I141" s="200">
        <f>IF($C141,'Proyecto Datos (OKR´s)'!$J141,"")</f>
      </c>
      <c r="J141" s="201">
        <f>IF($C141,IF($I141&gt;=1,"Completado",IF($H141&lt;TODAY(),"Vencido",IF(($H141-TODAY())&lt;='Entregas Próximas'!$I$3,"Próximo a vencer","En curso"))),"")</f>
      </c>
      <c r="K141" s="200">
        <f>IF($C141,$H141-TODAY(),"")</f>
      </c>
      <c r="L141" s="200">
        <f>IF($C141,$N141*1000000+$H141+ROW()/100000,"")</f>
      </c>
      <c r="M141" s="200">
        <f>IF($C141,IF('Proyecto Datos (OKR´s)'!$E141="","(Sin sprint)",'Proyecto Datos (OKR´s)'!$E141),"")</f>
      </c>
      <c r="N141" s="200">
        <f>IF($C141,IF('Proyecto Datos (OKR´s)'!$E141="",9999,'Proyecto Datos (OKR´s)'!$E141),"")</f>
      </c>
    </row>
    <row r="142">
      <c r="A142" s="200">
        <f>ROW()</f>
      </c>
      <c r="B142" s="200">
        <f>ISTEXT('Proyecto Datos (OKR´s)'!$K142)</f>
      </c>
      <c r="C142" s="200">
        <f>AND(LEN('Proyecto Datos (OKR´s)'!$G142)&gt;0,NOT($B142),OR(ISNUMBER('Proyecto Datos (OKR´s)'!$F142),ISNUMBER('Proyecto Datos (OKR´s)'!$L142)))</f>
      </c>
      <c r="D142" s="201">
        <f>IF($C142,IFERROR(LOOKUP(2,1/((ISTEXT('Proyecto Datos (OKR´s)'!$K$7:$K142))*(LEN('Proyecto Datos (OKR´s)'!$G$7:$G142)&gt;0)),'Proyecto Datos (OKR´s)'!$G$7:$G142),""),"")</f>
      </c>
      <c r="E142" s="200">
        <f>IF($C142,'Proyecto Datos (OKR´s)'!$E142,"")</f>
      </c>
      <c r="F142" s="201">
        <f>IF($C142,'Proyecto Datos (OKR´s)'!$G142,"")</f>
      </c>
      <c r="G142" s="201">
        <f>IF($C142,IF('Proyecto Datos (OKR´s)'!$I142="","(Sin asignar)",'Proyecto Datos (OKR´s)'!$I142),"")</f>
      </c>
      <c r="H142" s="200">
        <f>IF($C142,IF(ISNUMBER('Proyecto Datos (OKR´s)'!$F142),'Proyecto Datos (OKR´s)'!$F142,'Proyecto Datos (OKR´s)'!$L142),"")</f>
      </c>
      <c r="I142" s="200">
        <f>IF($C142,'Proyecto Datos (OKR´s)'!$J142,"")</f>
      </c>
      <c r="J142" s="201">
        <f>IF($C142,IF($I142&gt;=1,"Completado",IF($H142&lt;TODAY(),"Vencido",IF(($H142-TODAY())&lt;='Entregas Próximas'!$I$3,"Próximo a vencer","En curso"))),"")</f>
      </c>
      <c r="K142" s="200">
        <f>IF($C142,$H142-TODAY(),"")</f>
      </c>
      <c r="L142" s="200">
        <f>IF($C142,$N142*1000000+$H142+ROW()/100000,"")</f>
      </c>
      <c r="M142" s="200">
        <f>IF($C142,IF('Proyecto Datos (OKR´s)'!$E142="","(Sin sprint)",'Proyecto Datos (OKR´s)'!$E142),"")</f>
      </c>
      <c r="N142" s="200">
        <f>IF($C142,IF('Proyecto Datos (OKR´s)'!$E142="",9999,'Proyecto Datos (OKR´s)'!$E142),"")</f>
      </c>
    </row>
    <row r="143">
      <c r="A143" s="200">
        <f>ROW()</f>
      </c>
      <c r="B143" s="200">
        <f>ISTEXT('Proyecto Datos (OKR´s)'!$K143)</f>
      </c>
      <c r="C143" s="200">
        <f>AND(LEN('Proyecto Datos (OKR´s)'!$G143)&gt;0,NOT($B143),OR(ISNUMBER('Proyecto Datos (OKR´s)'!$F143),ISNUMBER('Proyecto Datos (OKR´s)'!$L143)))</f>
      </c>
      <c r="D143" s="201">
        <f>IF($C143,IFERROR(LOOKUP(2,1/((ISTEXT('Proyecto Datos (OKR´s)'!$K$7:$K143))*(LEN('Proyecto Datos (OKR´s)'!$G$7:$G143)&gt;0)),'Proyecto Datos (OKR´s)'!$G$7:$G143),""),"")</f>
      </c>
      <c r="E143" s="200">
        <f>IF($C143,'Proyecto Datos (OKR´s)'!$E143,"")</f>
      </c>
      <c r="F143" s="201">
        <f>IF($C143,'Proyecto Datos (OKR´s)'!$G143,"")</f>
      </c>
      <c r="G143" s="201">
        <f>IF($C143,IF('Proyecto Datos (OKR´s)'!$I143="","(Sin asignar)",'Proyecto Datos (OKR´s)'!$I143),"")</f>
      </c>
      <c r="H143" s="200">
        <f>IF($C143,IF(ISNUMBER('Proyecto Datos (OKR´s)'!$F143),'Proyecto Datos (OKR´s)'!$F143,'Proyecto Datos (OKR´s)'!$L143),"")</f>
      </c>
      <c r="I143" s="200">
        <f>IF($C143,'Proyecto Datos (OKR´s)'!$J143,"")</f>
      </c>
      <c r="J143" s="201">
        <f>IF($C143,IF($I143&gt;=1,"Completado",IF($H143&lt;TODAY(),"Vencido",IF(($H143-TODAY())&lt;='Entregas Próximas'!$I$3,"Próximo a vencer","En curso"))),"")</f>
      </c>
      <c r="K143" s="200">
        <f>IF($C143,$H143-TODAY(),"")</f>
      </c>
      <c r="L143" s="200">
        <f>IF($C143,$N143*1000000+$H143+ROW()/100000,"")</f>
      </c>
      <c r="M143" s="200">
        <f>IF($C143,IF('Proyecto Datos (OKR´s)'!$E143="","(Sin sprint)",'Proyecto Datos (OKR´s)'!$E143),"")</f>
      </c>
      <c r="N143" s="200">
        <f>IF($C143,IF('Proyecto Datos (OKR´s)'!$E143="",9999,'Proyecto Datos (OKR´s)'!$E143),"")</f>
      </c>
    </row>
    <row r="144">
      <c r="A144" s="200">
        <f>ROW()</f>
      </c>
      <c r="B144" s="200">
        <f>ISTEXT('Proyecto Datos (OKR´s)'!$K144)</f>
      </c>
      <c r="C144" s="200">
        <f>AND(LEN('Proyecto Datos (OKR´s)'!$G144)&gt;0,NOT($B144),OR(ISNUMBER('Proyecto Datos (OKR´s)'!$F144),ISNUMBER('Proyecto Datos (OKR´s)'!$L144)))</f>
      </c>
      <c r="D144" s="201">
        <f>IF($C144,IFERROR(LOOKUP(2,1/((ISTEXT('Proyecto Datos (OKR´s)'!$K$7:$K144))*(LEN('Proyecto Datos (OKR´s)'!$G$7:$G144)&gt;0)),'Proyecto Datos (OKR´s)'!$G$7:$G144),""),"")</f>
      </c>
      <c r="E144" s="200">
        <f>IF($C144,'Proyecto Datos (OKR´s)'!$E144,"")</f>
      </c>
      <c r="F144" s="201">
        <f>IF($C144,'Proyecto Datos (OKR´s)'!$G144,"")</f>
      </c>
      <c r="G144" s="201">
        <f>IF($C144,IF('Proyecto Datos (OKR´s)'!$I144="","(Sin asignar)",'Proyecto Datos (OKR´s)'!$I144),"")</f>
      </c>
      <c r="H144" s="200">
        <f>IF($C144,IF(ISNUMBER('Proyecto Datos (OKR´s)'!$F144),'Proyecto Datos (OKR´s)'!$F144,'Proyecto Datos (OKR´s)'!$L144),"")</f>
      </c>
      <c r="I144" s="200">
        <f>IF($C144,'Proyecto Datos (OKR´s)'!$J144,"")</f>
      </c>
      <c r="J144" s="201">
        <f>IF($C144,IF($I144&gt;=1,"Completado",IF($H144&lt;TODAY(),"Vencido",IF(($H144-TODAY())&lt;='Entregas Próximas'!$I$3,"Próximo a vencer","En curso"))),"")</f>
      </c>
      <c r="K144" s="200">
        <f>IF($C144,$H144-TODAY(),"")</f>
      </c>
      <c r="L144" s="200">
        <f>IF($C144,$N144*1000000+$H144+ROW()/100000,"")</f>
      </c>
      <c r="M144" s="200">
        <f>IF($C144,IF('Proyecto Datos (OKR´s)'!$E144="","(Sin sprint)",'Proyecto Datos (OKR´s)'!$E144),"")</f>
      </c>
      <c r="N144" s="200">
        <f>IF($C144,IF('Proyecto Datos (OKR´s)'!$E144="",9999,'Proyecto Datos (OKR´s)'!$E144),"")</f>
      </c>
    </row>
    <row r="145">
      <c r="A145" s="200">
        <f>ROW()</f>
      </c>
      <c r="B145" s="200">
        <f>ISTEXT('Proyecto Datos (OKR´s)'!$K145)</f>
      </c>
      <c r="C145" s="200">
        <f>AND(LEN('Proyecto Datos (OKR´s)'!$G145)&gt;0,NOT($B145),OR(ISNUMBER('Proyecto Datos (OKR´s)'!$F145),ISNUMBER('Proyecto Datos (OKR´s)'!$L145)))</f>
      </c>
      <c r="D145" s="201">
        <f>IF($C145,IFERROR(LOOKUP(2,1/((ISTEXT('Proyecto Datos (OKR´s)'!$K$7:$K145))*(LEN('Proyecto Datos (OKR´s)'!$G$7:$G145)&gt;0)),'Proyecto Datos (OKR´s)'!$G$7:$G145),""),"")</f>
      </c>
      <c r="E145" s="200">
        <f>IF($C145,'Proyecto Datos (OKR´s)'!$E145,"")</f>
      </c>
      <c r="F145" s="201">
        <f>IF($C145,'Proyecto Datos (OKR´s)'!$G145,"")</f>
      </c>
      <c r="G145" s="201">
        <f>IF($C145,IF('Proyecto Datos (OKR´s)'!$I145="","(Sin asignar)",'Proyecto Datos (OKR´s)'!$I145),"")</f>
      </c>
      <c r="H145" s="200">
        <f>IF($C145,IF(ISNUMBER('Proyecto Datos (OKR´s)'!$F145),'Proyecto Datos (OKR´s)'!$F145,'Proyecto Datos (OKR´s)'!$L145),"")</f>
      </c>
      <c r="I145" s="200">
        <f>IF($C145,'Proyecto Datos (OKR´s)'!$J145,"")</f>
      </c>
      <c r="J145" s="201">
        <f>IF($C145,IF($I145&gt;=1,"Completado",IF($H145&lt;TODAY(),"Vencido",IF(($H145-TODAY())&lt;='Entregas Próximas'!$I$3,"Próximo a vencer","En curso"))),"")</f>
      </c>
      <c r="K145" s="200">
        <f>IF($C145,$H145-TODAY(),"")</f>
      </c>
      <c r="L145" s="200">
        <f>IF($C145,$N145*1000000+$H145+ROW()/100000,"")</f>
      </c>
      <c r="M145" s="200">
        <f>IF($C145,IF('Proyecto Datos (OKR´s)'!$E145="","(Sin sprint)",'Proyecto Datos (OKR´s)'!$E145),"")</f>
      </c>
      <c r="N145" s="200">
        <f>IF($C145,IF('Proyecto Datos (OKR´s)'!$E145="",9999,'Proyecto Datos (OKR´s)'!$E145),"")</f>
      </c>
    </row>
    <row r="146">
      <c r="A146" s="200">
        <f>ROW()</f>
      </c>
      <c r="B146" s="200">
        <f>ISTEXT('Proyecto Datos (OKR´s)'!$K146)</f>
      </c>
      <c r="C146" s="200">
        <f>AND(LEN('Proyecto Datos (OKR´s)'!$G146)&gt;0,NOT($B146),OR(ISNUMBER('Proyecto Datos (OKR´s)'!$F146),ISNUMBER('Proyecto Datos (OKR´s)'!$L146)))</f>
      </c>
      <c r="D146" s="201">
        <f>IF($C146,IFERROR(LOOKUP(2,1/((ISTEXT('Proyecto Datos (OKR´s)'!$K$7:$K146))*(LEN('Proyecto Datos (OKR´s)'!$G$7:$G146)&gt;0)),'Proyecto Datos (OKR´s)'!$G$7:$G146),""),"")</f>
      </c>
      <c r="E146" s="200">
        <f>IF($C146,'Proyecto Datos (OKR´s)'!$E146,"")</f>
      </c>
      <c r="F146" s="201">
        <f>IF($C146,'Proyecto Datos (OKR´s)'!$G146,"")</f>
      </c>
      <c r="G146" s="201">
        <f>IF($C146,IF('Proyecto Datos (OKR´s)'!$I146="","(Sin asignar)",'Proyecto Datos (OKR´s)'!$I146),"")</f>
      </c>
      <c r="H146" s="200">
        <f>IF($C146,IF(ISNUMBER('Proyecto Datos (OKR´s)'!$F146),'Proyecto Datos (OKR´s)'!$F146,'Proyecto Datos (OKR´s)'!$L146),"")</f>
      </c>
      <c r="I146" s="200">
        <f>IF($C146,'Proyecto Datos (OKR´s)'!$J146,"")</f>
      </c>
      <c r="J146" s="201">
        <f>IF($C146,IF($I146&gt;=1,"Completado",IF($H146&lt;TODAY(),"Vencido",IF(($H146-TODAY())&lt;='Entregas Próximas'!$I$3,"Próximo a vencer","En curso"))),"")</f>
      </c>
      <c r="K146" s="200">
        <f>IF($C146,$H146-TODAY(),"")</f>
      </c>
      <c r="L146" s="200">
        <f>IF($C146,$N146*1000000+$H146+ROW()/100000,"")</f>
      </c>
      <c r="M146" s="200">
        <f>IF($C146,IF('Proyecto Datos (OKR´s)'!$E146="","(Sin sprint)",'Proyecto Datos (OKR´s)'!$E146),"")</f>
      </c>
      <c r="N146" s="200">
        <f>IF($C146,IF('Proyecto Datos (OKR´s)'!$E146="",9999,'Proyecto Datos (OKR´s)'!$E146),"")</f>
      </c>
    </row>
    <row r="147">
      <c r="A147" s="200">
        <f>ROW()</f>
      </c>
      <c r="B147" s="200">
        <f>ISTEXT('Proyecto Datos (OKR´s)'!$K147)</f>
      </c>
      <c r="C147" s="200">
        <f>AND(LEN('Proyecto Datos (OKR´s)'!$G147)&gt;0,NOT($B147),OR(ISNUMBER('Proyecto Datos (OKR´s)'!$F147),ISNUMBER('Proyecto Datos (OKR´s)'!$L147)))</f>
      </c>
      <c r="D147" s="201">
        <f>IF($C147,IFERROR(LOOKUP(2,1/((ISTEXT('Proyecto Datos (OKR´s)'!$K$7:$K147))*(LEN('Proyecto Datos (OKR´s)'!$G$7:$G147)&gt;0)),'Proyecto Datos (OKR´s)'!$G$7:$G147),""),"")</f>
      </c>
      <c r="E147" s="200">
        <f>IF($C147,'Proyecto Datos (OKR´s)'!$E147,"")</f>
      </c>
      <c r="F147" s="201">
        <f>IF($C147,'Proyecto Datos (OKR´s)'!$G147,"")</f>
      </c>
      <c r="G147" s="201">
        <f>IF($C147,IF('Proyecto Datos (OKR´s)'!$I147="","(Sin asignar)",'Proyecto Datos (OKR´s)'!$I147),"")</f>
      </c>
      <c r="H147" s="200">
        <f>IF($C147,IF(ISNUMBER('Proyecto Datos (OKR´s)'!$F147),'Proyecto Datos (OKR´s)'!$F147,'Proyecto Datos (OKR´s)'!$L147),"")</f>
      </c>
      <c r="I147" s="200">
        <f>IF($C147,'Proyecto Datos (OKR´s)'!$J147,"")</f>
      </c>
      <c r="J147" s="201">
        <f>IF($C147,IF($I147&gt;=1,"Completado",IF($H147&lt;TODAY(),"Vencido",IF(($H147-TODAY())&lt;='Entregas Próximas'!$I$3,"Próximo a vencer","En curso"))),"")</f>
      </c>
      <c r="K147" s="200">
        <f>IF($C147,$H147-TODAY(),"")</f>
      </c>
      <c r="L147" s="200">
        <f>IF($C147,$N147*1000000+$H147+ROW()/100000,"")</f>
      </c>
      <c r="M147" s="200">
        <f>IF($C147,IF('Proyecto Datos (OKR´s)'!$E147="","(Sin sprint)",'Proyecto Datos (OKR´s)'!$E147),"")</f>
      </c>
      <c r="N147" s="200">
        <f>IF($C147,IF('Proyecto Datos (OKR´s)'!$E147="",9999,'Proyecto Datos (OKR´s)'!$E147),"")</f>
      </c>
    </row>
    <row r="148">
      <c r="A148" s="200">
        <f>ROW()</f>
      </c>
      <c r="B148" s="200">
        <f>ISTEXT('Proyecto Datos (OKR´s)'!$K148)</f>
      </c>
      <c r="C148" s="200">
        <f>AND(LEN('Proyecto Datos (OKR´s)'!$G148)&gt;0,NOT($B148),OR(ISNUMBER('Proyecto Datos (OKR´s)'!$F148),ISNUMBER('Proyecto Datos (OKR´s)'!$L148)))</f>
      </c>
      <c r="D148" s="201">
        <f>IF($C148,IFERROR(LOOKUP(2,1/((ISTEXT('Proyecto Datos (OKR´s)'!$K$7:$K148))*(LEN('Proyecto Datos (OKR´s)'!$G$7:$G148)&gt;0)),'Proyecto Datos (OKR´s)'!$G$7:$G148),""),"")</f>
      </c>
      <c r="E148" s="200">
        <f>IF($C148,'Proyecto Datos (OKR´s)'!$E148,"")</f>
      </c>
      <c r="F148" s="201">
        <f>IF($C148,'Proyecto Datos (OKR´s)'!$G148,"")</f>
      </c>
      <c r="G148" s="201">
        <f>IF($C148,IF('Proyecto Datos (OKR´s)'!$I148="","(Sin asignar)",'Proyecto Datos (OKR´s)'!$I148),"")</f>
      </c>
      <c r="H148" s="200">
        <f>IF($C148,IF(ISNUMBER('Proyecto Datos (OKR´s)'!$F148),'Proyecto Datos (OKR´s)'!$F148,'Proyecto Datos (OKR´s)'!$L148),"")</f>
      </c>
      <c r="I148" s="200">
        <f>IF($C148,'Proyecto Datos (OKR´s)'!$J148,"")</f>
      </c>
      <c r="J148" s="201">
        <f>IF($C148,IF($I148&gt;=1,"Completado",IF($H148&lt;TODAY(),"Vencido",IF(($H148-TODAY())&lt;='Entregas Próximas'!$I$3,"Próximo a vencer","En curso"))),"")</f>
      </c>
      <c r="K148" s="200">
        <f>IF($C148,$H148-TODAY(),"")</f>
      </c>
      <c r="L148" s="200">
        <f>IF($C148,$N148*1000000+$H148+ROW()/100000,"")</f>
      </c>
      <c r="M148" s="200">
        <f>IF($C148,IF('Proyecto Datos (OKR´s)'!$E148="","(Sin sprint)",'Proyecto Datos (OKR´s)'!$E148),"")</f>
      </c>
      <c r="N148" s="200">
        <f>IF($C148,IF('Proyecto Datos (OKR´s)'!$E148="",9999,'Proyecto Datos (OKR´s)'!$E148),"")</f>
      </c>
    </row>
    <row r="149">
      <c r="A149" s="200">
        <f>ROW()</f>
      </c>
      <c r="B149" s="200">
        <f>ISTEXT('Proyecto Datos (OKR´s)'!$K149)</f>
      </c>
      <c r="C149" s="200">
        <f>AND(LEN('Proyecto Datos (OKR´s)'!$G149)&gt;0,NOT($B149),OR(ISNUMBER('Proyecto Datos (OKR´s)'!$F149),ISNUMBER('Proyecto Datos (OKR´s)'!$L149)))</f>
      </c>
      <c r="D149" s="201">
        <f>IF($C149,IFERROR(LOOKUP(2,1/((ISTEXT('Proyecto Datos (OKR´s)'!$K$7:$K149))*(LEN('Proyecto Datos (OKR´s)'!$G$7:$G149)&gt;0)),'Proyecto Datos (OKR´s)'!$G$7:$G149),""),"")</f>
      </c>
      <c r="E149" s="200">
        <f>IF($C149,'Proyecto Datos (OKR´s)'!$E149,"")</f>
      </c>
      <c r="F149" s="201">
        <f>IF($C149,'Proyecto Datos (OKR´s)'!$G149,"")</f>
      </c>
      <c r="G149" s="201">
        <f>IF($C149,IF('Proyecto Datos (OKR´s)'!$I149="","(Sin asignar)",'Proyecto Datos (OKR´s)'!$I149),"")</f>
      </c>
      <c r="H149" s="200">
        <f>IF($C149,IF(ISNUMBER('Proyecto Datos (OKR´s)'!$F149),'Proyecto Datos (OKR´s)'!$F149,'Proyecto Datos (OKR´s)'!$L149),"")</f>
      </c>
      <c r="I149" s="200">
        <f>IF($C149,'Proyecto Datos (OKR´s)'!$J149,"")</f>
      </c>
      <c r="J149" s="201">
        <f>IF($C149,IF($I149&gt;=1,"Completado",IF($H149&lt;TODAY(),"Vencido",IF(($H149-TODAY())&lt;='Entregas Próximas'!$I$3,"Próximo a vencer","En curso"))),"")</f>
      </c>
      <c r="K149" s="200">
        <f>IF($C149,$H149-TODAY(),"")</f>
      </c>
      <c r="L149" s="200">
        <f>IF($C149,$N149*1000000+$H149+ROW()/100000,"")</f>
      </c>
      <c r="M149" s="200">
        <f>IF($C149,IF('Proyecto Datos (OKR´s)'!$E149="","(Sin sprint)",'Proyecto Datos (OKR´s)'!$E149),"")</f>
      </c>
      <c r="N149" s="200">
        <f>IF($C149,IF('Proyecto Datos (OKR´s)'!$E149="",9999,'Proyecto Datos (OKR´s)'!$E149),"")</f>
      </c>
    </row>
    <row r="150">
      <c r="A150" s="200">
        <f>ROW()</f>
      </c>
      <c r="B150" s="200">
        <f>ISTEXT('Proyecto Datos (OKR´s)'!$K150)</f>
      </c>
      <c r="C150" s="200">
        <f>AND(LEN('Proyecto Datos (OKR´s)'!$G150)&gt;0,NOT($B150),OR(ISNUMBER('Proyecto Datos (OKR´s)'!$F150),ISNUMBER('Proyecto Datos (OKR´s)'!$L150)))</f>
      </c>
      <c r="D150" s="201">
        <f>IF($C150,IFERROR(LOOKUP(2,1/((ISTEXT('Proyecto Datos (OKR´s)'!$K$7:$K150))*(LEN('Proyecto Datos (OKR´s)'!$G$7:$G150)&gt;0)),'Proyecto Datos (OKR´s)'!$G$7:$G150),""),"")</f>
      </c>
      <c r="E150" s="200">
        <f>IF($C150,'Proyecto Datos (OKR´s)'!$E150,"")</f>
      </c>
      <c r="F150" s="201">
        <f>IF($C150,'Proyecto Datos (OKR´s)'!$G150,"")</f>
      </c>
      <c r="G150" s="201">
        <f>IF($C150,IF('Proyecto Datos (OKR´s)'!$I150="","(Sin asignar)",'Proyecto Datos (OKR´s)'!$I150),"")</f>
      </c>
      <c r="H150" s="200">
        <f>IF($C150,IF(ISNUMBER('Proyecto Datos (OKR´s)'!$F150),'Proyecto Datos (OKR´s)'!$F150,'Proyecto Datos (OKR´s)'!$L150),"")</f>
      </c>
      <c r="I150" s="200">
        <f>IF($C150,'Proyecto Datos (OKR´s)'!$J150,"")</f>
      </c>
      <c r="J150" s="201">
        <f>IF($C150,IF($I150&gt;=1,"Completado",IF($H150&lt;TODAY(),"Vencido",IF(($H150-TODAY())&lt;='Entregas Próximas'!$I$3,"Próximo a vencer","En curso"))),"")</f>
      </c>
      <c r="K150" s="200">
        <f>IF($C150,$H150-TODAY(),"")</f>
      </c>
      <c r="L150" s="200">
        <f>IF($C150,$N150*1000000+$H150+ROW()/100000,"")</f>
      </c>
      <c r="M150" s="200">
        <f>IF($C150,IF('Proyecto Datos (OKR´s)'!$E150="","(Sin sprint)",'Proyecto Datos (OKR´s)'!$E150),"")</f>
      </c>
      <c r="N150" s="200">
        <f>IF($C150,IF('Proyecto Datos (OKR´s)'!$E150="",9999,'Proyecto Datos (OKR´s)'!$E150),"")</f>
      </c>
    </row>
    <row r="151">
      <c r="A151" s="200">
        <f>ROW()</f>
      </c>
      <c r="B151" s="200">
        <f>ISTEXT('Proyecto Datos (OKR´s)'!$K151)</f>
      </c>
      <c r="C151" s="200">
        <f>AND(LEN('Proyecto Datos (OKR´s)'!$G151)&gt;0,NOT($B151),OR(ISNUMBER('Proyecto Datos (OKR´s)'!$F151),ISNUMBER('Proyecto Datos (OKR´s)'!$L151)))</f>
      </c>
      <c r="D151" s="201">
        <f>IF($C151,IFERROR(LOOKUP(2,1/((ISTEXT('Proyecto Datos (OKR´s)'!$K$7:$K151))*(LEN('Proyecto Datos (OKR´s)'!$G$7:$G151)&gt;0)),'Proyecto Datos (OKR´s)'!$G$7:$G151),""),"")</f>
      </c>
      <c r="E151" s="200">
        <f>IF($C151,'Proyecto Datos (OKR´s)'!$E151,"")</f>
      </c>
      <c r="F151" s="201">
        <f>IF($C151,'Proyecto Datos (OKR´s)'!$G151,"")</f>
      </c>
      <c r="G151" s="201">
        <f>IF($C151,IF('Proyecto Datos (OKR´s)'!$I151="","(Sin asignar)",'Proyecto Datos (OKR´s)'!$I151),"")</f>
      </c>
      <c r="H151" s="200">
        <f>IF($C151,IF(ISNUMBER('Proyecto Datos (OKR´s)'!$F151),'Proyecto Datos (OKR´s)'!$F151,'Proyecto Datos (OKR´s)'!$L151),"")</f>
      </c>
      <c r="I151" s="200">
        <f>IF($C151,'Proyecto Datos (OKR´s)'!$J151,"")</f>
      </c>
      <c r="J151" s="201">
        <f>IF($C151,IF($I151&gt;=1,"Completado",IF($H151&lt;TODAY(),"Vencido",IF(($H151-TODAY())&lt;='Entregas Próximas'!$I$3,"Próximo a vencer","En curso"))),"")</f>
      </c>
      <c r="K151" s="200">
        <f>IF($C151,$H151-TODAY(),"")</f>
      </c>
      <c r="L151" s="200">
        <f>IF($C151,$N151*1000000+$H151+ROW()/100000,"")</f>
      </c>
      <c r="M151" s="200">
        <f>IF($C151,IF('Proyecto Datos (OKR´s)'!$E151="","(Sin sprint)",'Proyecto Datos (OKR´s)'!$E151),"")</f>
      </c>
      <c r="N151" s="200">
        <f>IF($C151,IF('Proyecto Datos (OKR´s)'!$E151="",9999,'Proyecto Datos (OKR´s)'!$E151),"")</f>
      </c>
    </row>
    <row r="152">
      <c r="A152" s="200">
        <f>ROW()</f>
      </c>
      <c r="B152" s="200">
        <f>ISTEXT('Proyecto Datos (OKR´s)'!$K152)</f>
      </c>
      <c r="C152" s="200">
        <f>AND(LEN('Proyecto Datos (OKR´s)'!$G152)&gt;0,NOT($B152),OR(ISNUMBER('Proyecto Datos (OKR´s)'!$F152),ISNUMBER('Proyecto Datos (OKR´s)'!$L152)))</f>
      </c>
      <c r="D152" s="201">
        <f>IF($C152,IFERROR(LOOKUP(2,1/((ISTEXT('Proyecto Datos (OKR´s)'!$K$7:$K152))*(LEN('Proyecto Datos (OKR´s)'!$G$7:$G152)&gt;0)),'Proyecto Datos (OKR´s)'!$G$7:$G152),""),"")</f>
      </c>
      <c r="E152" s="200">
        <f>IF($C152,'Proyecto Datos (OKR´s)'!$E152,"")</f>
      </c>
      <c r="F152" s="201">
        <f>IF($C152,'Proyecto Datos (OKR´s)'!$G152,"")</f>
      </c>
      <c r="G152" s="201">
        <f>IF($C152,IF('Proyecto Datos (OKR´s)'!$I152="","(Sin asignar)",'Proyecto Datos (OKR´s)'!$I152),"")</f>
      </c>
      <c r="H152" s="200">
        <f>IF($C152,IF(ISNUMBER('Proyecto Datos (OKR´s)'!$F152),'Proyecto Datos (OKR´s)'!$F152,'Proyecto Datos (OKR´s)'!$L152),"")</f>
      </c>
      <c r="I152" s="200">
        <f>IF($C152,'Proyecto Datos (OKR´s)'!$J152,"")</f>
      </c>
      <c r="J152" s="201">
        <f>IF($C152,IF($I152&gt;=1,"Completado",IF($H152&lt;TODAY(),"Vencido",IF(($H152-TODAY())&lt;='Entregas Próximas'!$I$3,"Próximo a vencer","En curso"))),"")</f>
      </c>
      <c r="K152" s="200">
        <f>IF($C152,$H152-TODAY(),"")</f>
      </c>
      <c r="L152" s="200">
        <f>IF($C152,$N152*1000000+$H152+ROW()/100000,"")</f>
      </c>
      <c r="M152" s="200">
        <f>IF($C152,IF('Proyecto Datos (OKR´s)'!$E152="","(Sin sprint)",'Proyecto Datos (OKR´s)'!$E152),"")</f>
      </c>
      <c r="N152" s="200">
        <f>IF($C152,IF('Proyecto Datos (OKR´s)'!$E152="",9999,'Proyecto Datos (OKR´s)'!$E152),"")</f>
      </c>
    </row>
    <row r="153">
      <c r="A153" s="200">
        <f>ROW()</f>
      </c>
      <c r="B153" s="200">
        <f>ISTEXT('Proyecto Datos (OKR´s)'!$K153)</f>
      </c>
      <c r="C153" s="200">
        <f>AND(LEN('Proyecto Datos (OKR´s)'!$G153)&gt;0,NOT($B153),OR(ISNUMBER('Proyecto Datos (OKR´s)'!$F153),ISNUMBER('Proyecto Datos (OKR´s)'!$L153)))</f>
      </c>
      <c r="D153" s="201">
        <f>IF($C153,IFERROR(LOOKUP(2,1/((ISTEXT('Proyecto Datos (OKR´s)'!$K$7:$K153))*(LEN('Proyecto Datos (OKR´s)'!$G$7:$G153)&gt;0)),'Proyecto Datos (OKR´s)'!$G$7:$G153),""),"")</f>
      </c>
      <c r="E153" s="200">
        <f>IF($C153,'Proyecto Datos (OKR´s)'!$E153,"")</f>
      </c>
      <c r="F153" s="201">
        <f>IF($C153,'Proyecto Datos (OKR´s)'!$G153,"")</f>
      </c>
      <c r="G153" s="201">
        <f>IF($C153,IF('Proyecto Datos (OKR´s)'!$I153="","(Sin asignar)",'Proyecto Datos (OKR´s)'!$I153),"")</f>
      </c>
      <c r="H153" s="200">
        <f>IF($C153,IF(ISNUMBER('Proyecto Datos (OKR´s)'!$F153),'Proyecto Datos (OKR´s)'!$F153,'Proyecto Datos (OKR´s)'!$L153),"")</f>
      </c>
      <c r="I153" s="200">
        <f>IF($C153,'Proyecto Datos (OKR´s)'!$J153,"")</f>
      </c>
      <c r="J153" s="201">
        <f>IF($C153,IF($I153&gt;=1,"Completado",IF($H153&lt;TODAY(),"Vencido",IF(($H153-TODAY())&lt;='Entregas Próximas'!$I$3,"Próximo a vencer","En curso"))),"")</f>
      </c>
      <c r="K153" s="200">
        <f>IF($C153,$H153-TODAY(),"")</f>
      </c>
      <c r="L153" s="200">
        <f>IF($C153,$N153*1000000+$H153+ROW()/100000,"")</f>
      </c>
      <c r="M153" s="200">
        <f>IF($C153,IF('Proyecto Datos (OKR´s)'!$E153="","(Sin sprint)",'Proyecto Datos (OKR´s)'!$E153),"")</f>
      </c>
      <c r="N153" s="200">
        <f>IF($C153,IF('Proyecto Datos (OKR´s)'!$E153="",9999,'Proyecto Datos (OKR´s)'!$E153),"")</f>
      </c>
    </row>
    <row r="154">
      <c r="A154" s="200">
        <f>ROW()</f>
      </c>
      <c r="B154" s="200">
        <f>ISTEXT('Proyecto Datos (OKR´s)'!$K154)</f>
      </c>
      <c r="C154" s="200">
        <f>AND(LEN('Proyecto Datos (OKR´s)'!$G154)&gt;0,NOT($B154),OR(ISNUMBER('Proyecto Datos (OKR´s)'!$F154),ISNUMBER('Proyecto Datos (OKR´s)'!$L154)))</f>
      </c>
      <c r="D154" s="201">
        <f>IF($C154,IFERROR(LOOKUP(2,1/((ISTEXT('Proyecto Datos (OKR´s)'!$K$7:$K154))*(LEN('Proyecto Datos (OKR´s)'!$G$7:$G154)&gt;0)),'Proyecto Datos (OKR´s)'!$G$7:$G154),""),"")</f>
      </c>
      <c r="E154" s="200">
        <f>IF($C154,'Proyecto Datos (OKR´s)'!$E154,"")</f>
      </c>
      <c r="F154" s="201">
        <f>IF($C154,'Proyecto Datos (OKR´s)'!$G154,"")</f>
      </c>
      <c r="G154" s="201">
        <f>IF($C154,IF('Proyecto Datos (OKR´s)'!$I154="","(Sin asignar)",'Proyecto Datos (OKR´s)'!$I154),"")</f>
      </c>
      <c r="H154" s="200">
        <f>IF($C154,IF(ISNUMBER('Proyecto Datos (OKR´s)'!$F154),'Proyecto Datos (OKR´s)'!$F154,'Proyecto Datos (OKR´s)'!$L154),"")</f>
      </c>
      <c r="I154" s="200">
        <f>IF($C154,'Proyecto Datos (OKR´s)'!$J154,"")</f>
      </c>
      <c r="J154" s="201">
        <f>IF($C154,IF($I154&gt;=1,"Completado",IF($H154&lt;TODAY(),"Vencido",IF(($H154-TODAY())&lt;='Entregas Próximas'!$I$3,"Próximo a vencer","En curso"))),"")</f>
      </c>
      <c r="K154" s="200">
        <f>IF($C154,$H154-TODAY(),"")</f>
      </c>
      <c r="L154" s="200">
        <f>IF($C154,$N154*1000000+$H154+ROW()/100000,"")</f>
      </c>
      <c r="M154" s="200">
        <f>IF($C154,IF('Proyecto Datos (OKR´s)'!$E154="","(Sin sprint)",'Proyecto Datos (OKR´s)'!$E154),"")</f>
      </c>
      <c r="N154" s="200">
        <f>IF($C154,IF('Proyecto Datos (OKR´s)'!$E154="",9999,'Proyecto Datos (OKR´s)'!$E154),"")</f>
      </c>
    </row>
    <row r="155">
      <c r="A155" s="200">
        <f>ROW()</f>
      </c>
      <c r="B155" s="200">
        <f>ISTEXT('Proyecto Datos (OKR´s)'!$K155)</f>
      </c>
      <c r="C155" s="200">
        <f>AND(LEN('Proyecto Datos (OKR´s)'!$G155)&gt;0,NOT($B155),OR(ISNUMBER('Proyecto Datos (OKR´s)'!$F155),ISNUMBER('Proyecto Datos (OKR´s)'!$L155)))</f>
      </c>
      <c r="D155" s="201">
        <f>IF($C155,IFERROR(LOOKUP(2,1/((ISTEXT('Proyecto Datos (OKR´s)'!$K$7:$K155))*(LEN('Proyecto Datos (OKR´s)'!$G$7:$G155)&gt;0)),'Proyecto Datos (OKR´s)'!$G$7:$G155),""),"")</f>
      </c>
      <c r="E155" s="200">
        <f>IF($C155,'Proyecto Datos (OKR´s)'!$E155,"")</f>
      </c>
      <c r="F155" s="201">
        <f>IF($C155,'Proyecto Datos (OKR´s)'!$G155,"")</f>
      </c>
      <c r="G155" s="201">
        <f>IF($C155,IF('Proyecto Datos (OKR´s)'!$I155="","(Sin asignar)",'Proyecto Datos (OKR´s)'!$I155),"")</f>
      </c>
      <c r="H155" s="200">
        <f>IF($C155,IF(ISNUMBER('Proyecto Datos (OKR´s)'!$F155),'Proyecto Datos (OKR´s)'!$F155,'Proyecto Datos (OKR´s)'!$L155),"")</f>
      </c>
      <c r="I155" s="200">
        <f>IF($C155,'Proyecto Datos (OKR´s)'!$J155,"")</f>
      </c>
      <c r="J155" s="201">
        <f>IF($C155,IF($I155&gt;=1,"Completado",IF($H155&lt;TODAY(),"Vencido",IF(($H155-TODAY())&lt;='Entregas Próximas'!$I$3,"Próximo a vencer","En curso"))),"")</f>
      </c>
      <c r="K155" s="200">
        <f>IF($C155,$H155-TODAY(),"")</f>
      </c>
      <c r="L155" s="200">
        <f>IF($C155,$N155*1000000+$H155+ROW()/100000,"")</f>
      </c>
      <c r="M155" s="200">
        <f>IF($C155,IF('Proyecto Datos (OKR´s)'!$E155="","(Sin sprint)",'Proyecto Datos (OKR´s)'!$E155),"")</f>
      </c>
      <c r="N155" s="200">
        <f>IF($C155,IF('Proyecto Datos (OKR´s)'!$E155="",9999,'Proyecto Datos (OKR´s)'!$E155),"")</f>
      </c>
    </row>
    <row r="156">
      <c r="A156" s="200">
        <f>ROW()</f>
      </c>
      <c r="B156" s="200">
        <f>ISTEXT('Proyecto Datos (OKR´s)'!$K156)</f>
      </c>
      <c r="C156" s="200">
        <f>AND(LEN('Proyecto Datos (OKR´s)'!$G156)&gt;0,NOT($B156),OR(ISNUMBER('Proyecto Datos (OKR´s)'!$F156),ISNUMBER('Proyecto Datos (OKR´s)'!$L156)))</f>
      </c>
      <c r="D156" s="201">
        <f>IF($C156,IFERROR(LOOKUP(2,1/((ISTEXT('Proyecto Datos (OKR´s)'!$K$7:$K156))*(LEN('Proyecto Datos (OKR´s)'!$G$7:$G156)&gt;0)),'Proyecto Datos (OKR´s)'!$G$7:$G156),""),"")</f>
      </c>
      <c r="E156" s="200">
        <f>IF($C156,'Proyecto Datos (OKR´s)'!$E156,"")</f>
      </c>
      <c r="F156" s="201">
        <f>IF($C156,'Proyecto Datos (OKR´s)'!$G156,"")</f>
      </c>
      <c r="G156" s="201">
        <f>IF($C156,IF('Proyecto Datos (OKR´s)'!$I156="","(Sin asignar)",'Proyecto Datos (OKR´s)'!$I156),"")</f>
      </c>
      <c r="H156" s="200">
        <f>IF($C156,IF(ISNUMBER('Proyecto Datos (OKR´s)'!$F156),'Proyecto Datos (OKR´s)'!$F156,'Proyecto Datos (OKR´s)'!$L156),"")</f>
      </c>
      <c r="I156" s="200">
        <f>IF($C156,'Proyecto Datos (OKR´s)'!$J156,"")</f>
      </c>
      <c r="J156" s="201">
        <f>IF($C156,IF($I156&gt;=1,"Completado",IF($H156&lt;TODAY(),"Vencido",IF(($H156-TODAY())&lt;='Entregas Próximas'!$I$3,"Próximo a vencer","En curso"))),"")</f>
      </c>
      <c r="K156" s="200">
        <f>IF($C156,$H156-TODAY(),"")</f>
      </c>
      <c r="L156" s="200">
        <f>IF($C156,$N156*1000000+$H156+ROW()/100000,"")</f>
      </c>
      <c r="M156" s="200">
        <f>IF($C156,IF('Proyecto Datos (OKR´s)'!$E156="","(Sin sprint)",'Proyecto Datos (OKR´s)'!$E156),"")</f>
      </c>
      <c r="N156" s="200">
        <f>IF($C156,IF('Proyecto Datos (OKR´s)'!$E156="",9999,'Proyecto Datos (OKR´s)'!$E156),"")</f>
      </c>
    </row>
    <row r="157">
      <c r="A157" s="200">
        <f>ROW()</f>
      </c>
      <c r="B157" s="200">
        <f>ISTEXT('Proyecto Datos (OKR´s)'!$K157)</f>
      </c>
      <c r="C157" s="200">
        <f>AND(LEN('Proyecto Datos (OKR´s)'!$G157)&gt;0,NOT($B157),OR(ISNUMBER('Proyecto Datos (OKR´s)'!$F157),ISNUMBER('Proyecto Datos (OKR´s)'!$L157)))</f>
      </c>
      <c r="D157" s="201">
        <f>IF($C157,IFERROR(LOOKUP(2,1/((ISTEXT('Proyecto Datos (OKR´s)'!$K$7:$K157))*(LEN('Proyecto Datos (OKR´s)'!$G$7:$G157)&gt;0)),'Proyecto Datos (OKR´s)'!$G$7:$G157),""),"")</f>
      </c>
      <c r="E157" s="200">
        <f>IF($C157,'Proyecto Datos (OKR´s)'!$E157,"")</f>
      </c>
      <c r="F157" s="201">
        <f>IF($C157,'Proyecto Datos (OKR´s)'!$G157,"")</f>
      </c>
      <c r="G157" s="201">
        <f>IF($C157,IF('Proyecto Datos (OKR´s)'!$I157="","(Sin asignar)",'Proyecto Datos (OKR´s)'!$I157),"")</f>
      </c>
      <c r="H157" s="200">
        <f>IF($C157,IF(ISNUMBER('Proyecto Datos (OKR´s)'!$F157),'Proyecto Datos (OKR´s)'!$F157,'Proyecto Datos (OKR´s)'!$L157),"")</f>
      </c>
      <c r="I157" s="200">
        <f>IF($C157,'Proyecto Datos (OKR´s)'!$J157,"")</f>
      </c>
      <c r="J157" s="201">
        <f>IF($C157,IF($I157&gt;=1,"Completado",IF($H157&lt;TODAY(),"Vencido",IF(($H157-TODAY())&lt;='Entregas Próximas'!$I$3,"Próximo a vencer","En curso"))),"")</f>
      </c>
      <c r="K157" s="200">
        <f>IF($C157,$H157-TODAY(),"")</f>
      </c>
      <c r="L157" s="200">
        <f>IF($C157,$N157*1000000+$H157+ROW()/100000,"")</f>
      </c>
      <c r="M157" s="200">
        <f>IF($C157,IF('Proyecto Datos (OKR´s)'!$E157="","(Sin sprint)",'Proyecto Datos (OKR´s)'!$E157),"")</f>
      </c>
      <c r="N157" s="200">
        <f>IF($C157,IF('Proyecto Datos (OKR´s)'!$E157="",9999,'Proyecto Datos (OKR´s)'!$E157),"")</f>
      </c>
    </row>
    <row r="158">
      <c r="A158" s="200">
        <f>ROW()</f>
      </c>
      <c r="B158" s="200">
        <f>ISTEXT('Proyecto Datos (OKR´s)'!$K158)</f>
      </c>
      <c r="C158" s="200">
        <f>AND(LEN('Proyecto Datos (OKR´s)'!$G158)&gt;0,NOT($B158),OR(ISNUMBER('Proyecto Datos (OKR´s)'!$F158),ISNUMBER('Proyecto Datos (OKR´s)'!$L158)))</f>
      </c>
      <c r="D158" s="201">
        <f>IF($C158,IFERROR(LOOKUP(2,1/((ISTEXT('Proyecto Datos (OKR´s)'!$K$7:$K158))*(LEN('Proyecto Datos (OKR´s)'!$G$7:$G158)&gt;0)),'Proyecto Datos (OKR´s)'!$G$7:$G158),""),"")</f>
      </c>
      <c r="E158" s="200">
        <f>IF($C158,'Proyecto Datos (OKR´s)'!$E158,"")</f>
      </c>
      <c r="F158" s="201">
        <f>IF($C158,'Proyecto Datos (OKR´s)'!$G158,"")</f>
      </c>
      <c r="G158" s="201">
        <f>IF($C158,IF('Proyecto Datos (OKR´s)'!$I158="","(Sin asignar)",'Proyecto Datos (OKR´s)'!$I158),"")</f>
      </c>
      <c r="H158" s="200">
        <f>IF($C158,IF(ISNUMBER('Proyecto Datos (OKR´s)'!$F158),'Proyecto Datos (OKR´s)'!$F158,'Proyecto Datos (OKR´s)'!$L158),"")</f>
      </c>
      <c r="I158" s="200">
        <f>IF($C158,'Proyecto Datos (OKR´s)'!$J158,"")</f>
      </c>
      <c r="J158" s="201">
        <f>IF($C158,IF($I158&gt;=1,"Completado",IF($H158&lt;TODAY(),"Vencido",IF(($H158-TODAY())&lt;='Entregas Próximas'!$I$3,"Próximo a vencer","En curso"))),"")</f>
      </c>
      <c r="K158" s="200">
        <f>IF($C158,$H158-TODAY(),"")</f>
      </c>
      <c r="L158" s="200">
        <f>IF($C158,$N158*1000000+$H158+ROW()/100000,"")</f>
      </c>
      <c r="M158" s="200">
        <f>IF($C158,IF('Proyecto Datos (OKR´s)'!$E158="","(Sin sprint)",'Proyecto Datos (OKR´s)'!$E158),"")</f>
      </c>
      <c r="N158" s="200">
        <f>IF($C158,IF('Proyecto Datos (OKR´s)'!$E158="",9999,'Proyecto Datos (OKR´s)'!$E158),"")</f>
      </c>
    </row>
    <row r="159">
      <c r="A159" s="200">
        <f>ROW()</f>
      </c>
      <c r="B159" s="200">
        <f>ISTEXT('Proyecto Datos (OKR´s)'!$K159)</f>
      </c>
      <c r="C159" s="200">
        <f>AND(LEN('Proyecto Datos (OKR´s)'!$G159)&gt;0,NOT($B159),OR(ISNUMBER('Proyecto Datos (OKR´s)'!$F159),ISNUMBER('Proyecto Datos (OKR´s)'!$L159)))</f>
      </c>
      <c r="D159" s="201">
        <f>IF($C159,IFERROR(LOOKUP(2,1/((ISTEXT('Proyecto Datos (OKR´s)'!$K$7:$K159))*(LEN('Proyecto Datos (OKR´s)'!$G$7:$G159)&gt;0)),'Proyecto Datos (OKR´s)'!$G$7:$G159),""),"")</f>
      </c>
      <c r="E159" s="200">
        <f>IF($C159,'Proyecto Datos (OKR´s)'!$E159,"")</f>
      </c>
      <c r="F159" s="201">
        <f>IF($C159,'Proyecto Datos (OKR´s)'!$G159,"")</f>
      </c>
      <c r="G159" s="201">
        <f>IF($C159,IF('Proyecto Datos (OKR´s)'!$I159="","(Sin asignar)",'Proyecto Datos (OKR´s)'!$I159),"")</f>
      </c>
      <c r="H159" s="200">
        <f>IF($C159,IF(ISNUMBER('Proyecto Datos (OKR´s)'!$F159),'Proyecto Datos (OKR´s)'!$F159,'Proyecto Datos (OKR´s)'!$L159),"")</f>
      </c>
      <c r="I159" s="200">
        <f>IF($C159,'Proyecto Datos (OKR´s)'!$J159,"")</f>
      </c>
      <c r="J159" s="201">
        <f>IF($C159,IF($I159&gt;=1,"Completado",IF($H159&lt;TODAY(),"Vencido",IF(($H159-TODAY())&lt;='Entregas Próximas'!$I$3,"Próximo a vencer","En curso"))),"")</f>
      </c>
      <c r="K159" s="200">
        <f>IF($C159,$H159-TODAY(),"")</f>
      </c>
      <c r="L159" s="200">
        <f>IF($C159,$N159*1000000+$H159+ROW()/100000,"")</f>
      </c>
      <c r="M159" s="200">
        <f>IF($C159,IF('Proyecto Datos (OKR´s)'!$E159="","(Sin sprint)",'Proyecto Datos (OKR´s)'!$E159),"")</f>
      </c>
      <c r="N159" s="200">
        <f>IF($C159,IF('Proyecto Datos (OKR´s)'!$E159="",9999,'Proyecto Datos (OKR´s)'!$E159),"")</f>
      </c>
    </row>
    <row r="160">
      <c r="A160" s="200">
        <f>ROW()</f>
      </c>
      <c r="B160" s="200">
        <f>ISTEXT('Proyecto Datos (OKR´s)'!$K160)</f>
      </c>
      <c r="C160" s="200">
        <f>AND(LEN('Proyecto Datos (OKR´s)'!$G160)&gt;0,NOT($B160),OR(ISNUMBER('Proyecto Datos (OKR´s)'!$F160),ISNUMBER('Proyecto Datos (OKR´s)'!$L160)))</f>
      </c>
      <c r="D160" s="201">
        <f>IF($C160,IFERROR(LOOKUP(2,1/((ISTEXT('Proyecto Datos (OKR´s)'!$K$7:$K160))*(LEN('Proyecto Datos (OKR´s)'!$G$7:$G160)&gt;0)),'Proyecto Datos (OKR´s)'!$G$7:$G160),""),"")</f>
      </c>
      <c r="E160" s="200">
        <f>IF($C160,'Proyecto Datos (OKR´s)'!$E160,"")</f>
      </c>
      <c r="F160" s="201">
        <f>IF($C160,'Proyecto Datos (OKR´s)'!$G160,"")</f>
      </c>
      <c r="G160" s="201">
        <f>IF($C160,IF('Proyecto Datos (OKR´s)'!$I160="","(Sin asignar)",'Proyecto Datos (OKR´s)'!$I160),"")</f>
      </c>
      <c r="H160" s="200">
        <f>IF($C160,IF(ISNUMBER('Proyecto Datos (OKR´s)'!$F160),'Proyecto Datos (OKR´s)'!$F160,'Proyecto Datos (OKR´s)'!$L160),"")</f>
      </c>
      <c r="I160" s="200">
        <f>IF($C160,'Proyecto Datos (OKR´s)'!$J160,"")</f>
      </c>
      <c r="J160" s="201">
        <f>IF($C160,IF($I160&gt;=1,"Completado",IF($H160&lt;TODAY(),"Vencido",IF(($H160-TODAY())&lt;='Entregas Próximas'!$I$3,"Próximo a vencer","En curso"))),"")</f>
      </c>
      <c r="K160" s="200">
        <f>IF($C160,$H160-TODAY(),"")</f>
      </c>
      <c r="L160" s="200">
        <f>IF($C160,$N160*1000000+$H160+ROW()/100000,"")</f>
      </c>
      <c r="M160" s="200">
        <f>IF($C160,IF('Proyecto Datos (OKR´s)'!$E160="","(Sin sprint)",'Proyecto Datos (OKR´s)'!$E160),"")</f>
      </c>
      <c r="N160" s="200">
        <f>IF($C160,IF('Proyecto Datos (OKR´s)'!$E160="",9999,'Proyecto Datos (OKR´s)'!$E160),"")</f>
      </c>
    </row>
    <row r="161">
      <c r="A161" s="200">
        <f>ROW()</f>
      </c>
      <c r="B161" s="200">
        <f>ISTEXT('Proyecto Datos (OKR´s)'!$K161)</f>
      </c>
      <c r="C161" s="200">
        <f>AND(LEN('Proyecto Datos (OKR´s)'!$G161)&gt;0,NOT($B161),OR(ISNUMBER('Proyecto Datos (OKR´s)'!$F161),ISNUMBER('Proyecto Datos (OKR´s)'!$L161)))</f>
      </c>
      <c r="D161" s="201">
        <f>IF($C161,IFERROR(LOOKUP(2,1/((ISTEXT('Proyecto Datos (OKR´s)'!$K$7:$K161))*(LEN('Proyecto Datos (OKR´s)'!$G$7:$G161)&gt;0)),'Proyecto Datos (OKR´s)'!$G$7:$G161),""),"")</f>
      </c>
      <c r="E161" s="200">
        <f>IF($C161,'Proyecto Datos (OKR´s)'!$E161,"")</f>
      </c>
      <c r="F161" s="201">
        <f>IF($C161,'Proyecto Datos (OKR´s)'!$G161,"")</f>
      </c>
      <c r="G161" s="201">
        <f>IF($C161,IF('Proyecto Datos (OKR´s)'!$I161="","(Sin asignar)",'Proyecto Datos (OKR´s)'!$I161),"")</f>
      </c>
      <c r="H161" s="200">
        <f>IF($C161,IF(ISNUMBER('Proyecto Datos (OKR´s)'!$F161),'Proyecto Datos (OKR´s)'!$F161,'Proyecto Datos (OKR´s)'!$L161),"")</f>
      </c>
      <c r="I161" s="200">
        <f>IF($C161,'Proyecto Datos (OKR´s)'!$J161,"")</f>
      </c>
      <c r="J161" s="201">
        <f>IF($C161,IF($I161&gt;=1,"Completado",IF($H161&lt;TODAY(),"Vencido",IF(($H161-TODAY())&lt;='Entregas Próximas'!$I$3,"Próximo a vencer","En curso"))),"")</f>
      </c>
      <c r="K161" s="200">
        <f>IF($C161,$H161-TODAY(),"")</f>
      </c>
      <c r="L161" s="200">
        <f>IF($C161,$N161*1000000+$H161+ROW()/100000,"")</f>
      </c>
      <c r="M161" s="200">
        <f>IF($C161,IF('Proyecto Datos (OKR´s)'!$E161="","(Sin sprint)",'Proyecto Datos (OKR´s)'!$E161),"")</f>
      </c>
      <c r="N161" s="200">
        <f>IF($C161,IF('Proyecto Datos (OKR´s)'!$E161="",9999,'Proyecto Datos (OKR´s)'!$E161),"")</f>
      </c>
    </row>
    <row r="162">
      <c r="A162" s="200">
        <f>ROW()</f>
      </c>
      <c r="B162" s="200">
        <f>ISTEXT('Proyecto Datos (OKR´s)'!$K162)</f>
      </c>
      <c r="C162" s="200">
        <f>AND(LEN('Proyecto Datos (OKR´s)'!$G162)&gt;0,NOT($B162),OR(ISNUMBER('Proyecto Datos (OKR´s)'!$F162),ISNUMBER('Proyecto Datos (OKR´s)'!$L162)))</f>
      </c>
      <c r="D162" s="201">
        <f>IF($C162,IFERROR(LOOKUP(2,1/((ISTEXT('Proyecto Datos (OKR´s)'!$K$7:$K162))*(LEN('Proyecto Datos (OKR´s)'!$G$7:$G162)&gt;0)),'Proyecto Datos (OKR´s)'!$G$7:$G162),""),"")</f>
      </c>
      <c r="E162" s="200">
        <f>IF($C162,'Proyecto Datos (OKR´s)'!$E162,"")</f>
      </c>
      <c r="F162" s="201">
        <f>IF($C162,'Proyecto Datos (OKR´s)'!$G162,"")</f>
      </c>
      <c r="G162" s="201">
        <f>IF($C162,IF('Proyecto Datos (OKR´s)'!$I162="","(Sin asignar)",'Proyecto Datos (OKR´s)'!$I162),"")</f>
      </c>
      <c r="H162" s="200">
        <f>IF($C162,IF(ISNUMBER('Proyecto Datos (OKR´s)'!$F162),'Proyecto Datos (OKR´s)'!$F162,'Proyecto Datos (OKR´s)'!$L162),"")</f>
      </c>
      <c r="I162" s="200">
        <f>IF($C162,'Proyecto Datos (OKR´s)'!$J162,"")</f>
      </c>
      <c r="J162" s="201">
        <f>IF($C162,IF($I162&gt;=1,"Completado",IF($H162&lt;TODAY(),"Vencido",IF(($H162-TODAY())&lt;='Entregas Próximas'!$I$3,"Próximo a vencer","En curso"))),"")</f>
      </c>
      <c r="K162" s="200">
        <f>IF($C162,$H162-TODAY(),"")</f>
      </c>
      <c r="L162" s="200">
        <f>IF($C162,$N162*1000000+$H162+ROW()/100000,"")</f>
      </c>
      <c r="M162" s="200">
        <f>IF($C162,IF('Proyecto Datos (OKR´s)'!$E162="","(Sin sprint)",'Proyecto Datos (OKR´s)'!$E162),"")</f>
      </c>
      <c r="N162" s="200">
        <f>IF($C162,IF('Proyecto Datos (OKR´s)'!$E162="",9999,'Proyecto Datos (OKR´s)'!$E162),"")</f>
      </c>
    </row>
    <row r="163">
      <c r="A163" s="200">
        <f>ROW()</f>
      </c>
      <c r="B163" s="200">
        <f>ISTEXT('Proyecto Datos (OKR´s)'!$K163)</f>
      </c>
      <c r="C163" s="200">
        <f>AND(LEN('Proyecto Datos (OKR´s)'!$G163)&gt;0,NOT($B163),OR(ISNUMBER('Proyecto Datos (OKR´s)'!$F163),ISNUMBER('Proyecto Datos (OKR´s)'!$L163)))</f>
      </c>
      <c r="D163" s="201">
        <f>IF($C163,IFERROR(LOOKUP(2,1/((ISTEXT('Proyecto Datos (OKR´s)'!$K$7:$K163))*(LEN('Proyecto Datos (OKR´s)'!$G$7:$G163)&gt;0)),'Proyecto Datos (OKR´s)'!$G$7:$G163),""),"")</f>
      </c>
      <c r="E163" s="200">
        <f>IF($C163,'Proyecto Datos (OKR´s)'!$E163,"")</f>
      </c>
      <c r="F163" s="201">
        <f>IF($C163,'Proyecto Datos (OKR´s)'!$G163,"")</f>
      </c>
      <c r="G163" s="201">
        <f>IF($C163,IF('Proyecto Datos (OKR´s)'!$I163="","(Sin asignar)",'Proyecto Datos (OKR´s)'!$I163),"")</f>
      </c>
      <c r="H163" s="200">
        <f>IF($C163,IF(ISNUMBER('Proyecto Datos (OKR´s)'!$F163),'Proyecto Datos (OKR´s)'!$F163,'Proyecto Datos (OKR´s)'!$L163),"")</f>
      </c>
      <c r="I163" s="200">
        <f>IF($C163,'Proyecto Datos (OKR´s)'!$J163,"")</f>
      </c>
      <c r="J163" s="201">
        <f>IF($C163,IF($I163&gt;=1,"Completado",IF($H163&lt;TODAY(),"Vencido",IF(($H163-TODAY())&lt;='Entregas Próximas'!$I$3,"Próximo a vencer","En curso"))),"")</f>
      </c>
      <c r="K163" s="200">
        <f>IF($C163,$H163-TODAY(),"")</f>
      </c>
      <c r="L163" s="200">
        <f>IF($C163,$N163*1000000+$H163+ROW()/100000,"")</f>
      </c>
      <c r="M163" s="200">
        <f>IF($C163,IF('Proyecto Datos (OKR´s)'!$E163="","(Sin sprint)",'Proyecto Datos (OKR´s)'!$E163),"")</f>
      </c>
      <c r="N163" s="200">
        <f>IF($C163,IF('Proyecto Datos (OKR´s)'!$E163="",9999,'Proyecto Datos (OKR´s)'!$E163),"")</f>
      </c>
    </row>
    <row r="164">
      <c r="A164" s="200">
        <f>ROW()</f>
      </c>
      <c r="B164" s="200">
        <f>ISTEXT('Proyecto Datos (OKR´s)'!$K164)</f>
      </c>
      <c r="C164" s="200">
        <f>AND(LEN('Proyecto Datos (OKR´s)'!$G164)&gt;0,NOT($B164),OR(ISNUMBER('Proyecto Datos (OKR´s)'!$F164),ISNUMBER('Proyecto Datos (OKR´s)'!$L164)))</f>
      </c>
      <c r="D164" s="201">
        <f>IF($C164,IFERROR(LOOKUP(2,1/((ISTEXT('Proyecto Datos (OKR´s)'!$K$7:$K164))*(LEN('Proyecto Datos (OKR´s)'!$G$7:$G164)&gt;0)),'Proyecto Datos (OKR´s)'!$G$7:$G164),""),"")</f>
      </c>
      <c r="E164" s="200">
        <f>IF($C164,'Proyecto Datos (OKR´s)'!$E164,"")</f>
      </c>
      <c r="F164" s="201">
        <f>IF($C164,'Proyecto Datos (OKR´s)'!$G164,"")</f>
      </c>
      <c r="G164" s="201">
        <f>IF($C164,IF('Proyecto Datos (OKR´s)'!$I164="","(Sin asignar)",'Proyecto Datos (OKR´s)'!$I164),"")</f>
      </c>
      <c r="H164" s="200">
        <f>IF($C164,IF(ISNUMBER('Proyecto Datos (OKR´s)'!$F164),'Proyecto Datos (OKR´s)'!$F164,'Proyecto Datos (OKR´s)'!$L164),"")</f>
      </c>
      <c r="I164" s="200">
        <f>IF($C164,'Proyecto Datos (OKR´s)'!$J164,"")</f>
      </c>
      <c r="J164" s="201">
        <f>IF($C164,IF($I164&gt;=1,"Completado",IF($H164&lt;TODAY(),"Vencido",IF(($H164-TODAY())&lt;='Entregas Próximas'!$I$3,"Próximo a vencer","En curso"))),"")</f>
      </c>
      <c r="K164" s="200">
        <f>IF($C164,$H164-TODAY(),"")</f>
      </c>
      <c r="L164" s="200">
        <f>IF($C164,$N164*1000000+$H164+ROW()/100000,"")</f>
      </c>
      <c r="M164" s="200">
        <f>IF($C164,IF('Proyecto Datos (OKR´s)'!$E164="","(Sin sprint)",'Proyecto Datos (OKR´s)'!$E164),"")</f>
      </c>
      <c r="N164" s="200">
        <f>IF($C164,IF('Proyecto Datos (OKR´s)'!$E164="",9999,'Proyecto Datos (OKR´s)'!$E164),"")</f>
      </c>
    </row>
    <row r="165">
      <c r="A165" s="200">
        <f>ROW()</f>
      </c>
      <c r="B165" s="200">
        <f>ISTEXT('Proyecto Datos (OKR´s)'!$K165)</f>
      </c>
      <c r="C165" s="200">
        <f>AND(LEN('Proyecto Datos (OKR´s)'!$G165)&gt;0,NOT($B165),OR(ISNUMBER('Proyecto Datos (OKR´s)'!$F165),ISNUMBER('Proyecto Datos (OKR´s)'!$L165)))</f>
      </c>
      <c r="D165" s="201">
        <f>IF($C165,IFERROR(LOOKUP(2,1/((ISTEXT('Proyecto Datos (OKR´s)'!$K$7:$K165))*(LEN('Proyecto Datos (OKR´s)'!$G$7:$G165)&gt;0)),'Proyecto Datos (OKR´s)'!$G$7:$G165),""),"")</f>
      </c>
      <c r="E165" s="200">
        <f>IF($C165,'Proyecto Datos (OKR´s)'!$E165,"")</f>
      </c>
      <c r="F165" s="201">
        <f>IF($C165,'Proyecto Datos (OKR´s)'!$G165,"")</f>
      </c>
      <c r="G165" s="201">
        <f>IF($C165,IF('Proyecto Datos (OKR´s)'!$I165="","(Sin asignar)",'Proyecto Datos (OKR´s)'!$I165),"")</f>
      </c>
      <c r="H165" s="200">
        <f>IF($C165,IF(ISNUMBER('Proyecto Datos (OKR´s)'!$F165),'Proyecto Datos (OKR´s)'!$F165,'Proyecto Datos (OKR´s)'!$L165),"")</f>
      </c>
      <c r="I165" s="200">
        <f>IF($C165,'Proyecto Datos (OKR´s)'!$J165,"")</f>
      </c>
      <c r="J165" s="201">
        <f>IF($C165,IF($I165&gt;=1,"Completado",IF($H165&lt;TODAY(),"Vencido",IF(($H165-TODAY())&lt;='Entregas Próximas'!$I$3,"Próximo a vencer","En curso"))),"")</f>
      </c>
      <c r="K165" s="200">
        <f>IF($C165,$H165-TODAY(),"")</f>
      </c>
      <c r="L165" s="200">
        <f>IF($C165,$N165*1000000+$H165+ROW()/100000,"")</f>
      </c>
      <c r="M165" s="200">
        <f>IF($C165,IF('Proyecto Datos (OKR´s)'!$E165="","(Sin sprint)",'Proyecto Datos (OKR´s)'!$E165),"")</f>
      </c>
      <c r="N165" s="200">
        <f>IF($C165,IF('Proyecto Datos (OKR´s)'!$E165="",9999,'Proyecto Datos (OKR´s)'!$E165),"")</f>
      </c>
    </row>
    <row r="166">
      <c r="A166" s="200">
        <f>ROW()</f>
      </c>
      <c r="B166" s="200">
        <f>ISTEXT('Proyecto Datos (OKR´s)'!$K166)</f>
      </c>
      <c r="C166" s="200">
        <f>AND(LEN('Proyecto Datos (OKR´s)'!$G166)&gt;0,NOT($B166),OR(ISNUMBER('Proyecto Datos (OKR´s)'!$F166),ISNUMBER('Proyecto Datos (OKR´s)'!$L166)))</f>
      </c>
      <c r="D166" s="201">
        <f>IF($C166,IFERROR(LOOKUP(2,1/((ISTEXT('Proyecto Datos (OKR´s)'!$K$7:$K166))*(LEN('Proyecto Datos (OKR´s)'!$G$7:$G166)&gt;0)),'Proyecto Datos (OKR´s)'!$G$7:$G166),""),"")</f>
      </c>
      <c r="E166" s="200">
        <f>IF($C166,'Proyecto Datos (OKR´s)'!$E166,"")</f>
      </c>
      <c r="F166" s="201">
        <f>IF($C166,'Proyecto Datos (OKR´s)'!$G166,"")</f>
      </c>
      <c r="G166" s="201">
        <f>IF($C166,IF('Proyecto Datos (OKR´s)'!$I166="","(Sin asignar)",'Proyecto Datos (OKR´s)'!$I166),"")</f>
      </c>
      <c r="H166" s="200">
        <f>IF($C166,IF(ISNUMBER('Proyecto Datos (OKR´s)'!$F166),'Proyecto Datos (OKR´s)'!$F166,'Proyecto Datos (OKR´s)'!$L166),"")</f>
      </c>
      <c r="I166" s="200">
        <f>IF($C166,'Proyecto Datos (OKR´s)'!$J166,"")</f>
      </c>
      <c r="J166" s="201">
        <f>IF($C166,IF($I166&gt;=1,"Completado",IF($H166&lt;TODAY(),"Vencido",IF(($H166-TODAY())&lt;='Entregas Próximas'!$I$3,"Próximo a vencer","En curso"))),"")</f>
      </c>
      <c r="K166" s="200">
        <f>IF($C166,$H166-TODAY(),"")</f>
      </c>
      <c r="L166" s="200">
        <f>IF($C166,$N166*1000000+$H166+ROW()/100000,"")</f>
      </c>
      <c r="M166" s="200">
        <f>IF($C166,IF('Proyecto Datos (OKR´s)'!$E166="","(Sin sprint)",'Proyecto Datos (OKR´s)'!$E166),"")</f>
      </c>
      <c r="N166" s="200">
        <f>IF($C166,IF('Proyecto Datos (OKR´s)'!$E166="",9999,'Proyecto Datos (OKR´s)'!$E166),"")</f>
      </c>
    </row>
    <row r="167">
      <c r="A167" s="200">
        <f>ROW()</f>
      </c>
      <c r="B167" s="200">
        <f>ISTEXT('Proyecto Datos (OKR´s)'!$K167)</f>
      </c>
      <c r="C167" s="200">
        <f>AND(LEN('Proyecto Datos (OKR´s)'!$G167)&gt;0,NOT($B167),OR(ISNUMBER('Proyecto Datos (OKR´s)'!$F167),ISNUMBER('Proyecto Datos (OKR´s)'!$L167)))</f>
      </c>
      <c r="D167" s="201">
        <f>IF($C167,IFERROR(LOOKUP(2,1/((ISTEXT('Proyecto Datos (OKR´s)'!$K$7:$K167))*(LEN('Proyecto Datos (OKR´s)'!$G$7:$G167)&gt;0)),'Proyecto Datos (OKR´s)'!$G$7:$G167),""),"")</f>
      </c>
      <c r="E167" s="200">
        <f>IF($C167,'Proyecto Datos (OKR´s)'!$E167,"")</f>
      </c>
      <c r="F167" s="201">
        <f>IF($C167,'Proyecto Datos (OKR´s)'!$G167,"")</f>
      </c>
      <c r="G167" s="201">
        <f>IF($C167,IF('Proyecto Datos (OKR´s)'!$I167="","(Sin asignar)",'Proyecto Datos (OKR´s)'!$I167),"")</f>
      </c>
      <c r="H167" s="200">
        <f>IF($C167,IF(ISNUMBER('Proyecto Datos (OKR´s)'!$F167),'Proyecto Datos (OKR´s)'!$F167,'Proyecto Datos (OKR´s)'!$L167),"")</f>
      </c>
      <c r="I167" s="200">
        <f>IF($C167,'Proyecto Datos (OKR´s)'!$J167,"")</f>
      </c>
      <c r="J167" s="201">
        <f>IF($C167,IF($I167&gt;=1,"Completado",IF($H167&lt;TODAY(),"Vencido",IF(($H167-TODAY())&lt;='Entregas Próximas'!$I$3,"Próximo a vencer","En curso"))),"")</f>
      </c>
      <c r="K167" s="200">
        <f>IF($C167,$H167-TODAY(),"")</f>
      </c>
      <c r="L167" s="200">
        <f>IF($C167,$N167*1000000+$H167+ROW()/100000,"")</f>
      </c>
      <c r="M167" s="200">
        <f>IF($C167,IF('Proyecto Datos (OKR´s)'!$E167="","(Sin sprint)",'Proyecto Datos (OKR´s)'!$E167),"")</f>
      </c>
      <c r="N167" s="200">
        <f>IF($C167,IF('Proyecto Datos (OKR´s)'!$E167="",9999,'Proyecto Datos (OKR´s)'!$E167),"")</f>
      </c>
    </row>
    <row r="168">
      <c r="A168" s="200">
        <f>ROW()</f>
      </c>
      <c r="B168" s="200">
        <f>ISTEXT('Proyecto Datos (OKR´s)'!$K168)</f>
      </c>
      <c r="C168" s="200">
        <f>AND(LEN('Proyecto Datos (OKR´s)'!$G168)&gt;0,NOT($B168),OR(ISNUMBER('Proyecto Datos (OKR´s)'!$F168),ISNUMBER('Proyecto Datos (OKR´s)'!$L168)))</f>
      </c>
      <c r="D168" s="201">
        <f>IF($C168,IFERROR(LOOKUP(2,1/((ISTEXT('Proyecto Datos (OKR´s)'!$K$7:$K168))*(LEN('Proyecto Datos (OKR´s)'!$G$7:$G168)&gt;0)),'Proyecto Datos (OKR´s)'!$G$7:$G168),""),"")</f>
      </c>
      <c r="E168" s="200">
        <f>IF($C168,'Proyecto Datos (OKR´s)'!$E168,"")</f>
      </c>
      <c r="F168" s="201">
        <f>IF($C168,'Proyecto Datos (OKR´s)'!$G168,"")</f>
      </c>
      <c r="G168" s="201">
        <f>IF($C168,IF('Proyecto Datos (OKR´s)'!$I168="","(Sin asignar)",'Proyecto Datos (OKR´s)'!$I168),"")</f>
      </c>
      <c r="H168" s="200">
        <f>IF($C168,IF(ISNUMBER('Proyecto Datos (OKR´s)'!$F168),'Proyecto Datos (OKR´s)'!$F168,'Proyecto Datos (OKR´s)'!$L168),"")</f>
      </c>
      <c r="I168" s="200">
        <f>IF($C168,'Proyecto Datos (OKR´s)'!$J168,"")</f>
      </c>
      <c r="J168" s="201">
        <f>IF($C168,IF($I168&gt;=1,"Completado",IF($H168&lt;TODAY(),"Vencido",IF(($H168-TODAY())&lt;='Entregas Próximas'!$I$3,"Próximo a vencer","En curso"))),"")</f>
      </c>
      <c r="K168" s="200">
        <f>IF($C168,$H168-TODAY(),"")</f>
      </c>
      <c r="L168" s="200">
        <f>IF($C168,$N168*1000000+$H168+ROW()/100000,"")</f>
      </c>
      <c r="M168" s="200">
        <f>IF($C168,IF('Proyecto Datos (OKR´s)'!$E168="","(Sin sprint)",'Proyecto Datos (OKR´s)'!$E168),"")</f>
      </c>
      <c r="N168" s="200">
        <f>IF($C168,IF('Proyecto Datos (OKR´s)'!$E168="",9999,'Proyecto Datos (OKR´s)'!$E168),"")</f>
      </c>
    </row>
    <row r="169">
      <c r="A169" s="200">
        <f>ROW()</f>
      </c>
      <c r="B169" s="200">
        <f>ISTEXT('Proyecto Datos (OKR´s)'!$K169)</f>
      </c>
      <c r="C169" s="200">
        <f>AND(LEN('Proyecto Datos (OKR´s)'!$G169)&gt;0,NOT($B169),OR(ISNUMBER('Proyecto Datos (OKR´s)'!$F169),ISNUMBER('Proyecto Datos (OKR´s)'!$L169)))</f>
      </c>
      <c r="D169" s="201">
        <f>IF($C169,IFERROR(LOOKUP(2,1/((ISTEXT('Proyecto Datos (OKR´s)'!$K$7:$K169))*(LEN('Proyecto Datos (OKR´s)'!$G$7:$G169)&gt;0)),'Proyecto Datos (OKR´s)'!$G$7:$G169),""),"")</f>
      </c>
      <c r="E169" s="200">
        <f>IF($C169,'Proyecto Datos (OKR´s)'!$E169,"")</f>
      </c>
      <c r="F169" s="201">
        <f>IF($C169,'Proyecto Datos (OKR´s)'!$G169,"")</f>
      </c>
      <c r="G169" s="201">
        <f>IF($C169,IF('Proyecto Datos (OKR´s)'!$I169="","(Sin asignar)",'Proyecto Datos (OKR´s)'!$I169),"")</f>
      </c>
      <c r="H169" s="200">
        <f>IF($C169,IF(ISNUMBER('Proyecto Datos (OKR´s)'!$F169),'Proyecto Datos (OKR´s)'!$F169,'Proyecto Datos (OKR´s)'!$L169),"")</f>
      </c>
      <c r="I169" s="200">
        <f>IF($C169,'Proyecto Datos (OKR´s)'!$J169,"")</f>
      </c>
      <c r="J169" s="201">
        <f>IF($C169,IF($I169&gt;=1,"Completado",IF($H169&lt;TODAY(),"Vencido",IF(($H169-TODAY())&lt;='Entregas Próximas'!$I$3,"Próximo a vencer","En curso"))),"")</f>
      </c>
      <c r="K169" s="200">
        <f>IF($C169,$H169-TODAY(),"")</f>
      </c>
      <c r="L169" s="200">
        <f>IF($C169,$N169*1000000+$H169+ROW()/100000,"")</f>
      </c>
      <c r="M169" s="200">
        <f>IF($C169,IF('Proyecto Datos (OKR´s)'!$E169="","(Sin sprint)",'Proyecto Datos (OKR´s)'!$E169),"")</f>
      </c>
      <c r="N169" s="200">
        <f>IF($C169,IF('Proyecto Datos (OKR´s)'!$E169="",9999,'Proyecto Datos (OKR´s)'!$E169),"")</f>
      </c>
    </row>
    <row r="170">
      <c r="A170" s="200">
        <f>ROW()</f>
      </c>
      <c r="B170" s="200">
        <f>ISTEXT('Proyecto Datos (OKR´s)'!$K170)</f>
      </c>
      <c r="C170" s="200">
        <f>AND(LEN('Proyecto Datos (OKR´s)'!$G170)&gt;0,NOT($B170),OR(ISNUMBER('Proyecto Datos (OKR´s)'!$F170),ISNUMBER('Proyecto Datos (OKR´s)'!$L170)))</f>
      </c>
      <c r="D170" s="201">
        <f>IF($C170,IFERROR(LOOKUP(2,1/((ISTEXT('Proyecto Datos (OKR´s)'!$K$7:$K170))*(LEN('Proyecto Datos (OKR´s)'!$G$7:$G170)&gt;0)),'Proyecto Datos (OKR´s)'!$G$7:$G170),""),"")</f>
      </c>
      <c r="E170" s="200">
        <f>IF($C170,'Proyecto Datos (OKR´s)'!$E170,"")</f>
      </c>
      <c r="F170" s="201">
        <f>IF($C170,'Proyecto Datos (OKR´s)'!$G170,"")</f>
      </c>
      <c r="G170" s="201">
        <f>IF($C170,IF('Proyecto Datos (OKR´s)'!$I170="","(Sin asignar)",'Proyecto Datos (OKR´s)'!$I170),"")</f>
      </c>
      <c r="H170" s="200">
        <f>IF($C170,IF(ISNUMBER('Proyecto Datos (OKR´s)'!$F170),'Proyecto Datos (OKR´s)'!$F170,'Proyecto Datos (OKR´s)'!$L170),"")</f>
      </c>
      <c r="I170" s="200">
        <f>IF($C170,'Proyecto Datos (OKR´s)'!$J170,"")</f>
      </c>
      <c r="J170" s="201">
        <f>IF($C170,IF($I170&gt;=1,"Completado",IF($H170&lt;TODAY(),"Vencido",IF(($H170-TODAY())&lt;='Entregas Próximas'!$I$3,"Próximo a vencer","En curso"))),"")</f>
      </c>
      <c r="K170" s="200">
        <f>IF($C170,$H170-TODAY(),"")</f>
      </c>
      <c r="L170" s="200">
        <f>IF($C170,$N170*1000000+$H170+ROW()/100000,"")</f>
      </c>
      <c r="M170" s="200">
        <f>IF($C170,IF('Proyecto Datos (OKR´s)'!$E170="","(Sin sprint)",'Proyecto Datos (OKR´s)'!$E170),"")</f>
      </c>
      <c r="N170" s="200">
        <f>IF($C170,IF('Proyecto Datos (OKR´s)'!$E170="",9999,'Proyecto Datos (OKR´s)'!$E170),"")</f>
      </c>
    </row>
    <row r="171">
      <c r="A171" s="200">
        <f>ROW()</f>
      </c>
      <c r="B171" s="200">
        <f>ISTEXT('Proyecto Datos (OKR´s)'!$K171)</f>
      </c>
      <c r="C171" s="200">
        <f>AND(LEN('Proyecto Datos (OKR´s)'!$G171)&gt;0,NOT($B171),OR(ISNUMBER('Proyecto Datos (OKR´s)'!$F171),ISNUMBER('Proyecto Datos (OKR´s)'!$L171)))</f>
      </c>
      <c r="D171" s="201">
        <f>IF($C171,IFERROR(LOOKUP(2,1/((ISTEXT('Proyecto Datos (OKR´s)'!$K$7:$K171))*(LEN('Proyecto Datos (OKR´s)'!$G$7:$G171)&gt;0)),'Proyecto Datos (OKR´s)'!$G$7:$G171),""),"")</f>
      </c>
      <c r="E171" s="200">
        <f>IF($C171,'Proyecto Datos (OKR´s)'!$E171,"")</f>
      </c>
      <c r="F171" s="201">
        <f>IF($C171,'Proyecto Datos (OKR´s)'!$G171,"")</f>
      </c>
      <c r="G171" s="201">
        <f>IF($C171,IF('Proyecto Datos (OKR´s)'!$I171="","(Sin asignar)",'Proyecto Datos (OKR´s)'!$I171),"")</f>
      </c>
      <c r="H171" s="200">
        <f>IF($C171,IF(ISNUMBER('Proyecto Datos (OKR´s)'!$F171),'Proyecto Datos (OKR´s)'!$F171,'Proyecto Datos (OKR´s)'!$L171),"")</f>
      </c>
      <c r="I171" s="200">
        <f>IF($C171,'Proyecto Datos (OKR´s)'!$J171,"")</f>
      </c>
      <c r="J171" s="201">
        <f>IF($C171,IF($I171&gt;=1,"Completado",IF($H171&lt;TODAY(),"Vencido",IF(($H171-TODAY())&lt;='Entregas Próximas'!$I$3,"Próximo a vencer","En curso"))),"")</f>
      </c>
      <c r="K171" s="200">
        <f>IF($C171,$H171-TODAY(),"")</f>
      </c>
      <c r="L171" s="200">
        <f>IF($C171,$N171*1000000+$H171+ROW()/100000,"")</f>
      </c>
      <c r="M171" s="200">
        <f>IF($C171,IF('Proyecto Datos (OKR´s)'!$E171="","(Sin sprint)",'Proyecto Datos (OKR´s)'!$E171),"")</f>
      </c>
      <c r="N171" s="200">
        <f>IF($C171,IF('Proyecto Datos (OKR´s)'!$E171="",9999,'Proyecto Datos (OKR´s)'!$E171),"")</f>
      </c>
    </row>
    <row r="172">
      <c r="A172" s="200">
        <f>ROW()</f>
      </c>
      <c r="B172" s="200">
        <f>ISTEXT('Proyecto Datos (OKR´s)'!$K172)</f>
      </c>
      <c r="C172" s="200">
        <f>AND(LEN('Proyecto Datos (OKR´s)'!$G172)&gt;0,NOT($B172),OR(ISNUMBER('Proyecto Datos (OKR´s)'!$F172),ISNUMBER('Proyecto Datos (OKR´s)'!$L172)))</f>
      </c>
      <c r="D172" s="201">
        <f>IF($C172,IFERROR(LOOKUP(2,1/((ISTEXT('Proyecto Datos (OKR´s)'!$K$7:$K172))*(LEN('Proyecto Datos (OKR´s)'!$G$7:$G172)&gt;0)),'Proyecto Datos (OKR´s)'!$G$7:$G172),""),"")</f>
      </c>
      <c r="E172" s="200">
        <f>IF($C172,'Proyecto Datos (OKR´s)'!$E172,"")</f>
      </c>
      <c r="F172" s="201">
        <f>IF($C172,'Proyecto Datos (OKR´s)'!$G172,"")</f>
      </c>
      <c r="G172" s="201">
        <f>IF($C172,IF('Proyecto Datos (OKR´s)'!$I172="","(Sin asignar)",'Proyecto Datos (OKR´s)'!$I172),"")</f>
      </c>
      <c r="H172" s="200">
        <f>IF($C172,IF(ISNUMBER('Proyecto Datos (OKR´s)'!$F172),'Proyecto Datos (OKR´s)'!$F172,'Proyecto Datos (OKR´s)'!$L172),"")</f>
      </c>
      <c r="I172" s="200">
        <f>IF($C172,'Proyecto Datos (OKR´s)'!$J172,"")</f>
      </c>
      <c r="J172" s="201">
        <f>IF($C172,IF($I172&gt;=1,"Completado",IF($H172&lt;TODAY(),"Vencido",IF(($H172-TODAY())&lt;='Entregas Próximas'!$I$3,"Próximo a vencer","En curso"))),"")</f>
      </c>
      <c r="K172" s="200">
        <f>IF($C172,$H172-TODAY(),"")</f>
      </c>
      <c r="L172" s="200">
        <f>IF($C172,$N172*1000000+$H172+ROW()/100000,"")</f>
      </c>
      <c r="M172" s="200">
        <f>IF($C172,IF('Proyecto Datos (OKR´s)'!$E172="","(Sin sprint)",'Proyecto Datos (OKR´s)'!$E172),"")</f>
      </c>
      <c r="N172" s="200">
        <f>IF($C172,IF('Proyecto Datos (OKR´s)'!$E172="",9999,'Proyecto Datos (OKR´s)'!$E172),"")</f>
      </c>
    </row>
    <row r="173">
      <c r="A173" s="200">
        <f>ROW()</f>
      </c>
      <c r="B173" s="200">
        <f>ISTEXT('Proyecto Datos (OKR´s)'!$K173)</f>
      </c>
      <c r="C173" s="200">
        <f>AND(LEN('Proyecto Datos (OKR´s)'!$G173)&gt;0,NOT($B173),OR(ISNUMBER('Proyecto Datos (OKR´s)'!$F173),ISNUMBER('Proyecto Datos (OKR´s)'!$L173)))</f>
      </c>
      <c r="D173" s="201">
        <f>IF($C173,IFERROR(LOOKUP(2,1/((ISTEXT('Proyecto Datos (OKR´s)'!$K$7:$K173))*(LEN('Proyecto Datos (OKR´s)'!$G$7:$G173)&gt;0)),'Proyecto Datos (OKR´s)'!$G$7:$G173),""),"")</f>
      </c>
      <c r="E173" s="200">
        <f>IF($C173,'Proyecto Datos (OKR´s)'!$E173,"")</f>
      </c>
      <c r="F173" s="201">
        <f>IF($C173,'Proyecto Datos (OKR´s)'!$G173,"")</f>
      </c>
      <c r="G173" s="201">
        <f>IF($C173,IF('Proyecto Datos (OKR´s)'!$I173="","(Sin asignar)",'Proyecto Datos (OKR´s)'!$I173),"")</f>
      </c>
      <c r="H173" s="200">
        <f>IF($C173,IF(ISNUMBER('Proyecto Datos (OKR´s)'!$F173),'Proyecto Datos (OKR´s)'!$F173,'Proyecto Datos (OKR´s)'!$L173),"")</f>
      </c>
      <c r="I173" s="200">
        <f>IF($C173,'Proyecto Datos (OKR´s)'!$J173,"")</f>
      </c>
      <c r="J173" s="201">
        <f>IF($C173,IF($I173&gt;=1,"Completado",IF($H173&lt;TODAY(),"Vencido",IF(($H173-TODAY())&lt;='Entregas Próximas'!$I$3,"Próximo a vencer","En curso"))),"")</f>
      </c>
      <c r="K173" s="200">
        <f>IF($C173,$H173-TODAY(),"")</f>
      </c>
      <c r="L173" s="200">
        <f>IF($C173,$N173*1000000+$H173+ROW()/100000,"")</f>
      </c>
      <c r="M173" s="200">
        <f>IF($C173,IF('Proyecto Datos (OKR´s)'!$E173="","(Sin sprint)",'Proyecto Datos (OKR´s)'!$E173),"")</f>
      </c>
      <c r="N173" s="200">
        <f>IF($C173,IF('Proyecto Datos (OKR´s)'!$E173="",9999,'Proyecto Datos (OKR´s)'!$E173),"")</f>
      </c>
    </row>
    <row r="174">
      <c r="A174" s="200">
        <f>ROW()</f>
      </c>
      <c r="B174" s="200">
        <f>ISTEXT('Proyecto Datos (OKR´s)'!$K174)</f>
      </c>
      <c r="C174" s="200">
        <f>AND(LEN('Proyecto Datos (OKR´s)'!$G174)&gt;0,NOT($B174),OR(ISNUMBER('Proyecto Datos (OKR´s)'!$F174),ISNUMBER('Proyecto Datos (OKR´s)'!$L174)))</f>
      </c>
      <c r="D174" s="201">
        <f>IF($C174,IFERROR(LOOKUP(2,1/((ISTEXT('Proyecto Datos (OKR´s)'!$K$7:$K174))*(LEN('Proyecto Datos (OKR´s)'!$G$7:$G174)&gt;0)),'Proyecto Datos (OKR´s)'!$G$7:$G174),""),"")</f>
      </c>
      <c r="E174" s="200">
        <f>IF($C174,'Proyecto Datos (OKR´s)'!$E174,"")</f>
      </c>
      <c r="F174" s="201">
        <f>IF($C174,'Proyecto Datos (OKR´s)'!$G174,"")</f>
      </c>
      <c r="G174" s="201">
        <f>IF($C174,IF('Proyecto Datos (OKR´s)'!$I174="","(Sin asignar)",'Proyecto Datos (OKR´s)'!$I174),"")</f>
      </c>
      <c r="H174" s="200">
        <f>IF($C174,IF(ISNUMBER('Proyecto Datos (OKR´s)'!$F174),'Proyecto Datos (OKR´s)'!$F174,'Proyecto Datos (OKR´s)'!$L174),"")</f>
      </c>
      <c r="I174" s="200">
        <f>IF($C174,'Proyecto Datos (OKR´s)'!$J174,"")</f>
      </c>
      <c r="J174" s="201">
        <f>IF($C174,IF($I174&gt;=1,"Completado",IF($H174&lt;TODAY(),"Vencido",IF(($H174-TODAY())&lt;='Entregas Próximas'!$I$3,"Próximo a vencer","En curso"))),"")</f>
      </c>
      <c r="K174" s="200">
        <f>IF($C174,$H174-TODAY(),"")</f>
      </c>
      <c r="L174" s="200">
        <f>IF($C174,$N174*1000000+$H174+ROW()/100000,"")</f>
      </c>
      <c r="M174" s="200">
        <f>IF($C174,IF('Proyecto Datos (OKR´s)'!$E174="","(Sin sprint)",'Proyecto Datos (OKR´s)'!$E174),"")</f>
      </c>
      <c r="N174" s="200">
        <f>IF($C174,IF('Proyecto Datos (OKR´s)'!$E174="",9999,'Proyecto Datos (OKR´s)'!$E174),"")</f>
      </c>
    </row>
    <row r="175">
      <c r="A175" s="200">
        <f>ROW()</f>
      </c>
      <c r="B175" s="200">
        <f>ISTEXT('Proyecto Datos (OKR´s)'!$K175)</f>
      </c>
      <c r="C175" s="200">
        <f>AND(LEN('Proyecto Datos (OKR´s)'!$G175)&gt;0,NOT($B175),OR(ISNUMBER('Proyecto Datos (OKR´s)'!$F175),ISNUMBER('Proyecto Datos (OKR´s)'!$L175)))</f>
      </c>
      <c r="D175" s="201">
        <f>IF($C175,IFERROR(LOOKUP(2,1/((ISTEXT('Proyecto Datos (OKR´s)'!$K$7:$K175))*(LEN('Proyecto Datos (OKR´s)'!$G$7:$G175)&gt;0)),'Proyecto Datos (OKR´s)'!$G$7:$G175),""),"")</f>
      </c>
      <c r="E175" s="200">
        <f>IF($C175,'Proyecto Datos (OKR´s)'!$E175,"")</f>
      </c>
      <c r="F175" s="201">
        <f>IF($C175,'Proyecto Datos (OKR´s)'!$G175,"")</f>
      </c>
      <c r="G175" s="201">
        <f>IF($C175,IF('Proyecto Datos (OKR´s)'!$I175="","(Sin asignar)",'Proyecto Datos (OKR´s)'!$I175),"")</f>
      </c>
      <c r="H175" s="200">
        <f>IF($C175,IF(ISNUMBER('Proyecto Datos (OKR´s)'!$F175),'Proyecto Datos (OKR´s)'!$F175,'Proyecto Datos (OKR´s)'!$L175),"")</f>
      </c>
      <c r="I175" s="200">
        <f>IF($C175,'Proyecto Datos (OKR´s)'!$J175,"")</f>
      </c>
      <c r="J175" s="201">
        <f>IF($C175,IF($I175&gt;=1,"Completado",IF($H175&lt;TODAY(),"Vencido",IF(($H175-TODAY())&lt;='Entregas Próximas'!$I$3,"Próximo a vencer","En curso"))),"")</f>
      </c>
      <c r="K175" s="200">
        <f>IF($C175,$H175-TODAY(),"")</f>
      </c>
      <c r="L175" s="200">
        <f>IF($C175,$N175*1000000+$H175+ROW()/100000,"")</f>
      </c>
      <c r="M175" s="200">
        <f>IF($C175,IF('Proyecto Datos (OKR´s)'!$E175="","(Sin sprint)",'Proyecto Datos (OKR´s)'!$E175),"")</f>
      </c>
      <c r="N175" s="200">
        <f>IF($C175,IF('Proyecto Datos (OKR´s)'!$E175="",9999,'Proyecto Datos (OKR´s)'!$E175),"")</f>
      </c>
    </row>
    <row r="176">
      <c r="A176" s="200">
        <f>ROW()</f>
      </c>
      <c r="B176" s="200">
        <f>ISTEXT('Proyecto Datos (OKR´s)'!$K176)</f>
      </c>
      <c r="C176" s="200">
        <f>AND(LEN('Proyecto Datos (OKR´s)'!$G176)&gt;0,NOT($B176),OR(ISNUMBER('Proyecto Datos (OKR´s)'!$F176),ISNUMBER('Proyecto Datos (OKR´s)'!$L176)))</f>
      </c>
      <c r="D176" s="201">
        <f>IF($C176,IFERROR(LOOKUP(2,1/((ISTEXT('Proyecto Datos (OKR´s)'!$K$7:$K176))*(LEN('Proyecto Datos (OKR´s)'!$G$7:$G176)&gt;0)),'Proyecto Datos (OKR´s)'!$G$7:$G176),""),"")</f>
      </c>
      <c r="E176" s="200">
        <f>IF($C176,'Proyecto Datos (OKR´s)'!$E176,"")</f>
      </c>
      <c r="F176" s="201">
        <f>IF($C176,'Proyecto Datos (OKR´s)'!$G176,"")</f>
      </c>
      <c r="G176" s="201">
        <f>IF($C176,IF('Proyecto Datos (OKR´s)'!$I176="","(Sin asignar)",'Proyecto Datos (OKR´s)'!$I176),"")</f>
      </c>
      <c r="H176" s="200">
        <f>IF($C176,IF(ISNUMBER('Proyecto Datos (OKR´s)'!$F176),'Proyecto Datos (OKR´s)'!$F176,'Proyecto Datos (OKR´s)'!$L176),"")</f>
      </c>
      <c r="I176" s="200">
        <f>IF($C176,'Proyecto Datos (OKR´s)'!$J176,"")</f>
      </c>
      <c r="J176" s="201">
        <f>IF($C176,IF($I176&gt;=1,"Completado",IF($H176&lt;TODAY(),"Vencido",IF(($H176-TODAY())&lt;='Entregas Próximas'!$I$3,"Próximo a vencer","En curso"))),"")</f>
      </c>
      <c r="K176" s="200">
        <f>IF($C176,$H176-TODAY(),"")</f>
      </c>
      <c r="L176" s="200">
        <f>IF($C176,$N176*1000000+$H176+ROW()/100000,"")</f>
      </c>
      <c r="M176" s="200">
        <f>IF($C176,IF('Proyecto Datos (OKR´s)'!$E176="","(Sin sprint)",'Proyecto Datos (OKR´s)'!$E176),"")</f>
      </c>
      <c r="N176" s="200">
        <f>IF($C176,IF('Proyecto Datos (OKR´s)'!$E176="",9999,'Proyecto Datos (OKR´s)'!$E176),"")</f>
      </c>
    </row>
    <row r="177">
      <c r="A177" s="200">
        <f>ROW()</f>
      </c>
      <c r="B177" s="200">
        <f>ISTEXT('Proyecto Datos (OKR´s)'!$K177)</f>
      </c>
      <c r="C177" s="200">
        <f>AND(LEN('Proyecto Datos (OKR´s)'!$G177)&gt;0,NOT($B177),OR(ISNUMBER('Proyecto Datos (OKR´s)'!$F177),ISNUMBER('Proyecto Datos (OKR´s)'!$L177)))</f>
      </c>
      <c r="D177" s="201">
        <f>IF($C177,IFERROR(LOOKUP(2,1/((ISTEXT('Proyecto Datos (OKR´s)'!$K$7:$K177))*(LEN('Proyecto Datos (OKR´s)'!$G$7:$G177)&gt;0)),'Proyecto Datos (OKR´s)'!$G$7:$G177),""),"")</f>
      </c>
      <c r="E177" s="200">
        <f>IF($C177,'Proyecto Datos (OKR´s)'!$E177,"")</f>
      </c>
      <c r="F177" s="201">
        <f>IF($C177,'Proyecto Datos (OKR´s)'!$G177,"")</f>
      </c>
      <c r="G177" s="201">
        <f>IF($C177,IF('Proyecto Datos (OKR´s)'!$I177="","(Sin asignar)",'Proyecto Datos (OKR´s)'!$I177),"")</f>
      </c>
      <c r="H177" s="200">
        <f>IF($C177,IF(ISNUMBER('Proyecto Datos (OKR´s)'!$F177),'Proyecto Datos (OKR´s)'!$F177,'Proyecto Datos (OKR´s)'!$L177),"")</f>
      </c>
      <c r="I177" s="200">
        <f>IF($C177,'Proyecto Datos (OKR´s)'!$J177,"")</f>
      </c>
      <c r="J177" s="201">
        <f>IF($C177,IF($I177&gt;=1,"Completado",IF($H177&lt;TODAY(),"Vencido",IF(($H177-TODAY())&lt;='Entregas Próximas'!$I$3,"Próximo a vencer","En curso"))),"")</f>
      </c>
      <c r="K177" s="200">
        <f>IF($C177,$H177-TODAY(),"")</f>
      </c>
      <c r="L177" s="200">
        <f>IF($C177,$N177*1000000+$H177+ROW()/100000,"")</f>
      </c>
      <c r="M177" s="200">
        <f>IF($C177,IF('Proyecto Datos (OKR´s)'!$E177="","(Sin sprint)",'Proyecto Datos (OKR´s)'!$E177),"")</f>
      </c>
      <c r="N177" s="200">
        <f>IF($C177,IF('Proyecto Datos (OKR´s)'!$E177="",9999,'Proyecto Datos (OKR´s)'!$E177),"")</f>
      </c>
    </row>
    <row r="178">
      <c r="A178" s="200">
        <f>ROW()</f>
      </c>
      <c r="B178" s="200">
        <f>ISTEXT('Proyecto Datos (OKR´s)'!$K178)</f>
      </c>
      <c r="C178" s="200">
        <f>AND(LEN('Proyecto Datos (OKR´s)'!$G178)&gt;0,NOT($B178),OR(ISNUMBER('Proyecto Datos (OKR´s)'!$F178),ISNUMBER('Proyecto Datos (OKR´s)'!$L178)))</f>
      </c>
      <c r="D178" s="201">
        <f>IF($C178,IFERROR(LOOKUP(2,1/((ISTEXT('Proyecto Datos (OKR´s)'!$K$7:$K178))*(LEN('Proyecto Datos (OKR´s)'!$G$7:$G178)&gt;0)),'Proyecto Datos (OKR´s)'!$G$7:$G178),""),"")</f>
      </c>
      <c r="E178" s="200">
        <f>IF($C178,'Proyecto Datos (OKR´s)'!$E178,"")</f>
      </c>
      <c r="F178" s="201">
        <f>IF($C178,'Proyecto Datos (OKR´s)'!$G178,"")</f>
      </c>
      <c r="G178" s="201">
        <f>IF($C178,IF('Proyecto Datos (OKR´s)'!$I178="","(Sin asignar)",'Proyecto Datos (OKR´s)'!$I178),"")</f>
      </c>
      <c r="H178" s="200">
        <f>IF($C178,IF(ISNUMBER('Proyecto Datos (OKR´s)'!$F178),'Proyecto Datos (OKR´s)'!$F178,'Proyecto Datos (OKR´s)'!$L178),"")</f>
      </c>
      <c r="I178" s="200">
        <f>IF($C178,'Proyecto Datos (OKR´s)'!$J178,"")</f>
      </c>
      <c r="J178" s="201">
        <f>IF($C178,IF($I178&gt;=1,"Completado",IF($H178&lt;TODAY(),"Vencido",IF(($H178-TODAY())&lt;='Entregas Próximas'!$I$3,"Próximo a vencer","En curso"))),"")</f>
      </c>
      <c r="K178" s="200">
        <f>IF($C178,$H178-TODAY(),"")</f>
      </c>
      <c r="L178" s="200">
        <f>IF($C178,$N178*1000000+$H178+ROW()/100000,"")</f>
      </c>
      <c r="M178" s="200">
        <f>IF($C178,IF('Proyecto Datos (OKR´s)'!$E178="","(Sin sprint)",'Proyecto Datos (OKR´s)'!$E178),"")</f>
      </c>
      <c r="N178" s="200">
        <f>IF($C178,IF('Proyecto Datos (OKR´s)'!$E178="",9999,'Proyecto Datos (OKR´s)'!$E178),"")</f>
      </c>
    </row>
    <row r="179">
      <c r="A179" s="200">
        <f>ROW()</f>
      </c>
      <c r="B179" s="200">
        <f>ISTEXT('Proyecto Datos (OKR´s)'!$K179)</f>
      </c>
      <c r="C179" s="200">
        <f>AND(LEN('Proyecto Datos (OKR´s)'!$G179)&gt;0,NOT($B179),OR(ISNUMBER('Proyecto Datos (OKR´s)'!$F179),ISNUMBER('Proyecto Datos (OKR´s)'!$L179)))</f>
      </c>
      <c r="D179" s="201">
        <f>IF($C179,IFERROR(LOOKUP(2,1/((ISTEXT('Proyecto Datos (OKR´s)'!$K$7:$K179))*(LEN('Proyecto Datos (OKR´s)'!$G$7:$G179)&gt;0)),'Proyecto Datos (OKR´s)'!$G$7:$G179),""),"")</f>
      </c>
      <c r="E179" s="200">
        <f>IF($C179,'Proyecto Datos (OKR´s)'!$E179,"")</f>
      </c>
      <c r="F179" s="201">
        <f>IF($C179,'Proyecto Datos (OKR´s)'!$G179,"")</f>
      </c>
      <c r="G179" s="201">
        <f>IF($C179,IF('Proyecto Datos (OKR´s)'!$I179="","(Sin asignar)",'Proyecto Datos (OKR´s)'!$I179),"")</f>
      </c>
      <c r="H179" s="200">
        <f>IF($C179,IF(ISNUMBER('Proyecto Datos (OKR´s)'!$F179),'Proyecto Datos (OKR´s)'!$F179,'Proyecto Datos (OKR´s)'!$L179),"")</f>
      </c>
      <c r="I179" s="200">
        <f>IF($C179,'Proyecto Datos (OKR´s)'!$J179,"")</f>
      </c>
      <c r="J179" s="201">
        <f>IF($C179,IF($I179&gt;=1,"Completado",IF($H179&lt;TODAY(),"Vencido",IF(($H179-TODAY())&lt;='Entregas Próximas'!$I$3,"Próximo a vencer","En curso"))),"")</f>
      </c>
      <c r="K179" s="200">
        <f>IF($C179,$H179-TODAY(),"")</f>
      </c>
      <c r="L179" s="200">
        <f>IF($C179,$N179*1000000+$H179+ROW()/100000,"")</f>
      </c>
      <c r="M179" s="200">
        <f>IF($C179,IF('Proyecto Datos (OKR´s)'!$E179="","(Sin sprint)",'Proyecto Datos (OKR´s)'!$E179),"")</f>
      </c>
      <c r="N179" s="200">
        <f>IF($C179,IF('Proyecto Datos (OKR´s)'!$E179="",9999,'Proyecto Datos (OKR´s)'!$E179),"")</f>
      </c>
    </row>
    <row r="180">
      <c r="A180" s="200">
        <f>ROW()</f>
      </c>
      <c r="B180" s="200">
        <f>ISTEXT('Proyecto Datos (OKR´s)'!$K180)</f>
      </c>
      <c r="C180" s="200">
        <f>AND(LEN('Proyecto Datos (OKR´s)'!$G180)&gt;0,NOT($B180),OR(ISNUMBER('Proyecto Datos (OKR´s)'!$F180),ISNUMBER('Proyecto Datos (OKR´s)'!$L180)))</f>
      </c>
      <c r="D180" s="201">
        <f>IF($C180,IFERROR(LOOKUP(2,1/((ISTEXT('Proyecto Datos (OKR´s)'!$K$7:$K180))*(LEN('Proyecto Datos (OKR´s)'!$G$7:$G180)&gt;0)),'Proyecto Datos (OKR´s)'!$G$7:$G180),""),"")</f>
      </c>
      <c r="E180" s="200">
        <f>IF($C180,'Proyecto Datos (OKR´s)'!$E180,"")</f>
      </c>
      <c r="F180" s="201">
        <f>IF($C180,'Proyecto Datos (OKR´s)'!$G180,"")</f>
      </c>
      <c r="G180" s="201">
        <f>IF($C180,IF('Proyecto Datos (OKR´s)'!$I180="","(Sin asignar)",'Proyecto Datos (OKR´s)'!$I180),"")</f>
      </c>
      <c r="H180" s="200">
        <f>IF($C180,IF(ISNUMBER('Proyecto Datos (OKR´s)'!$F180),'Proyecto Datos (OKR´s)'!$F180,'Proyecto Datos (OKR´s)'!$L180),"")</f>
      </c>
      <c r="I180" s="200">
        <f>IF($C180,'Proyecto Datos (OKR´s)'!$J180,"")</f>
      </c>
      <c r="J180" s="201">
        <f>IF($C180,IF($I180&gt;=1,"Completado",IF($H180&lt;TODAY(),"Vencido",IF(($H180-TODAY())&lt;='Entregas Próximas'!$I$3,"Próximo a vencer","En curso"))),"")</f>
      </c>
      <c r="K180" s="200">
        <f>IF($C180,$H180-TODAY(),"")</f>
      </c>
      <c r="L180" s="200">
        <f>IF($C180,$N180*1000000+$H180+ROW()/100000,"")</f>
      </c>
      <c r="M180" s="200">
        <f>IF($C180,IF('Proyecto Datos (OKR´s)'!$E180="","(Sin sprint)",'Proyecto Datos (OKR´s)'!$E180),"")</f>
      </c>
      <c r="N180" s="200">
        <f>IF($C180,IF('Proyecto Datos (OKR´s)'!$E180="",9999,'Proyecto Datos (OKR´s)'!$E180),"")</f>
      </c>
    </row>
    <row r="181">
      <c r="A181" s="200">
        <f>ROW()</f>
      </c>
      <c r="B181" s="200">
        <f>ISTEXT('Proyecto Datos (OKR´s)'!$K181)</f>
      </c>
      <c r="C181" s="200">
        <f>AND(LEN('Proyecto Datos (OKR´s)'!$G181)&gt;0,NOT($B181),OR(ISNUMBER('Proyecto Datos (OKR´s)'!$F181),ISNUMBER('Proyecto Datos (OKR´s)'!$L181)))</f>
      </c>
      <c r="D181" s="201">
        <f>IF($C181,IFERROR(LOOKUP(2,1/((ISTEXT('Proyecto Datos (OKR´s)'!$K$7:$K181))*(LEN('Proyecto Datos (OKR´s)'!$G$7:$G181)&gt;0)),'Proyecto Datos (OKR´s)'!$G$7:$G181),""),"")</f>
      </c>
      <c r="E181" s="200">
        <f>IF($C181,'Proyecto Datos (OKR´s)'!$E181,"")</f>
      </c>
      <c r="F181" s="201">
        <f>IF($C181,'Proyecto Datos (OKR´s)'!$G181,"")</f>
      </c>
      <c r="G181" s="201">
        <f>IF($C181,IF('Proyecto Datos (OKR´s)'!$I181="","(Sin asignar)",'Proyecto Datos (OKR´s)'!$I181),"")</f>
      </c>
      <c r="H181" s="200">
        <f>IF($C181,IF(ISNUMBER('Proyecto Datos (OKR´s)'!$F181),'Proyecto Datos (OKR´s)'!$F181,'Proyecto Datos (OKR´s)'!$L181),"")</f>
      </c>
      <c r="I181" s="200">
        <f>IF($C181,'Proyecto Datos (OKR´s)'!$J181,"")</f>
      </c>
      <c r="J181" s="201">
        <f>IF($C181,IF($I181&gt;=1,"Completado",IF($H181&lt;TODAY(),"Vencido",IF(($H181-TODAY())&lt;='Entregas Próximas'!$I$3,"Próximo a vencer","En curso"))),"")</f>
      </c>
      <c r="K181" s="200">
        <f>IF($C181,$H181-TODAY(),"")</f>
      </c>
      <c r="L181" s="200">
        <f>IF($C181,$N181*1000000+$H181+ROW()/100000,"")</f>
      </c>
      <c r="M181" s="200">
        <f>IF($C181,IF('Proyecto Datos (OKR´s)'!$E181="","(Sin sprint)",'Proyecto Datos (OKR´s)'!$E181),"")</f>
      </c>
      <c r="N181" s="200">
        <f>IF($C181,IF('Proyecto Datos (OKR´s)'!$E181="",9999,'Proyecto Datos (OKR´s)'!$E181),"")</f>
      </c>
    </row>
    <row r="182">
      <c r="A182" s="200">
        <f>ROW()</f>
      </c>
      <c r="B182" s="200">
        <f>ISTEXT('Proyecto Datos (OKR´s)'!$K182)</f>
      </c>
      <c r="C182" s="200">
        <f>AND(LEN('Proyecto Datos (OKR´s)'!$G182)&gt;0,NOT($B182),OR(ISNUMBER('Proyecto Datos (OKR´s)'!$F182),ISNUMBER('Proyecto Datos (OKR´s)'!$L182)))</f>
      </c>
      <c r="D182" s="201">
        <f>IF($C182,IFERROR(LOOKUP(2,1/((ISTEXT('Proyecto Datos (OKR´s)'!$K$7:$K182))*(LEN('Proyecto Datos (OKR´s)'!$G$7:$G182)&gt;0)),'Proyecto Datos (OKR´s)'!$G$7:$G182),""),"")</f>
      </c>
      <c r="E182" s="200">
        <f>IF($C182,'Proyecto Datos (OKR´s)'!$E182,"")</f>
      </c>
      <c r="F182" s="201">
        <f>IF($C182,'Proyecto Datos (OKR´s)'!$G182,"")</f>
      </c>
      <c r="G182" s="201">
        <f>IF($C182,IF('Proyecto Datos (OKR´s)'!$I182="","(Sin asignar)",'Proyecto Datos (OKR´s)'!$I182),"")</f>
      </c>
      <c r="H182" s="200">
        <f>IF($C182,IF(ISNUMBER('Proyecto Datos (OKR´s)'!$F182),'Proyecto Datos (OKR´s)'!$F182,'Proyecto Datos (OKR´s)'!$L182),"")</f>
      </c>
      <c r="I182" s="200">
        <f>IF($C182,'Proyecto Datos (OKR´s)'!$J182,"")</f>
      </c>
      <c r="J182" s="201">
        <f>IF($C182,IF($I182&gt;=1,"Completado",IF($H182&lt;TODAY(),"Vencido",IF(($H182-TODAY())&lt;='Entregas Próximas'!$I$3,"Próximo a vencer","En curso"))),"")</f>
      </c>
      <c r="K182" s="200">
        <f>IF($C182,$H182-TODAY(),"")</f>
      </c>
      <c r="L182" s="200">
        <f>IF($C182,$N182*1000000+$H182+ROW()/100000,"")</f>
      </c>
      <c r="M182" s="200">
        <f>IF($C182,IF('Proyecto Datos (OKR´s)'!$E182="","(Sin sprint)",'Proyecto Datos (OKR´s)'!$E182),"")</f>
      </c>
      <c r="N182" s="200">
        <f>IF($C182,IF('Proyecto Datos (OKR´s)'!$E182="",9999,'Proyecto Datos (OKR´s)'!$E182),"")</f>
      </c>
    </row>
    <row r="183">
      <c r="A183" s="200">
        <f>ROW()</f>
      </c>
      <c r="B183" s="200">
        <f>ISTEXT('Proyecto Datos (OKR´s)'!$K183)</f>
      </c>
      <c r="C183" s="200">
        <f>AND(LEN('Proyecto Datos (OKR´s)'!$G183)&gt;0,NOT($B183),OR(ISNUMBER('Proyecto Datos (OKR´s)'!$F183),ISNUMBER('Proyecto Datos (OKR´s)'!$L183)))</f>
      </c>
      <c r="D183" s="201">
        <f>IF($C183,IFERROR(LOOKUP(2,1/((ISTEXT('Proyecto Datos (OKR´s)'!$K$7:$K183))*(LEN('Proyecto Datos (OKR´s)'!$G$7:$G183)&gt;0)),'Proyecto Datos (OKR´s)'!$G$7:$G183),""),"")</f>
      </c>
      <c r="E183" s="200">
        <f>IF($C183,'Proyecto Datos (OKR´s)'!$E183,"")</f>
      </c>
      <c r="F183" s="201">
        <f>IF($C183,'Proyecto Datos (OKR´s)'!$G183,"")</f>
      </c>
      <c r="G183" s="201">
        <f>IF($C183,IF('Proyecto Datos (OKR´s)'!$I183="","(Sin asignar)",'Proyecto Datos (OKR´s)'!$I183),"")</f>
      </c>
      <c r="H183" s="200">
        <f>IF($C183,IF(ISNUMBER('Proyecto Datos (OKR´s)'!$F183),'Proyecto Datos (OKR´s)'!$F183,'Proyecto Datos (OKR´s)'!$L183),"")</f>
      </c>
      <c r="I183" s="200">
        <f>IF($C183,'Proyecto Datos (OKR´s)'!$J183,"")</f>
      </c>
      <c r="J183" s="201">
        <f>IF($C183,IF($I183&gt;=1,"Completado",IF($H183&lt;TODAY(),"Vencido",IF(($H183-TODAY())&lt;='Entregas Próximas'!$I$3,"Próximo a vencer","En curso"))),"")</f>
      </c>
      <c r="K183" s="200">
        <f>IF($C183,$H183-TODAY(),"")</f>
      </c>
      <c r="L183" s="200">
        <f>IF($C183,$N183*1000000+$H183+ROW()/100000,"")</f>
      </c>
      <c r="M183" s="200">
        <f>IF($C183,IF('Proyecto Datos (OKR´s)'!$E183="","(Sin sprint)",'Proyecto Datos (OKR´s)'!$E183),"")</f>
      </c>
      <c r="N183" s="200">
        <f>IF($C183,IF('Proyecto Datos (OKR´s)'!$E183="",9999,'Proyecto Datos (OKR´s)'!$E183),"")</f>
      </c>
    </row>
    <row r="184">
      <c r="A184" s="200">
        <f>ROW()</f>
      </c>
      <c r="B184" s="200">
        <f>ISTEXT('Proyecto Datos (OKR´s)'!$K184)</f>
      </c>
      <c r="C184" s="200">
        <f>AND(LEN('Proyecto Datos (OKR´s)'!$G184)&gt;0,NOT($B184),OR(ISNUMBER('Proyecto Datos (OKR´s)'!$F184),ISNUMBER('Proyecto Datos (OKR´s)'!$L184)))</f>
      </c>
      <c r="D184" s="201">
        <f>IF($C184,IFERROR(LOOKUP(2,1/((ISTEXT('Proyecto Datos (OKR´s)'!$K$7:$K184))*(LEN('Proyecto Datos (OKR´s)'!$G$7:$G184)&gt;0)),'Proyecto Datos (OKR´s)'!$G$7:$G184),""),"")</f>
      </c>
      <c r="E184" s="200">
        <f>IF($C184,'Proyecto Datos (OKR´s)'!$E184,"")</f>
      </c>
      <c r="F184" s="201">
        <f>IF($C184,'Proyecto Datos (OKR´s)'!$G184,"")</f>
      </c>
      <c r="G184" s="201">
        <f>IF($C184,IF('Proyecto Datos (OKR´s)'!$I184="","(Sin asignar)",'Proyecto Datos (OKR´s)'!$I184),"")</f>
      </c>
      <c r="H184" s="200">
        <f>IF($C184,IF(ISNUMBER('Proyecto Datos (OKR´s)'!$F184),'Proyecto Datos (OKR´s)'!$F184,'Proyecto Datos (OKR´s)'!$L184),"")</f>
      </c>
      <c r="I184" s="200">
        <f>IF($C184,'Proyecto Datos (OKR´s)'!$J184,"")</f>
      </c>
      <c r="J184" s="201">
        <f>IF($C184,IF($I184&gt;=1,"Completado",IF($H184&lt;TODAY(),"Vencido",IF(($H184-TODAY())&lt;='Entregas Próximas'!$I$3,"Próximo a vencer","En curso"))),"")</f>
      </c>
      <c r="K184" s="200">
        <f>IF($C184,$H184-TODAY(),"")</f>
      </c>
      <c r="L184" s="200">
        <f>IF($C184,$N184*1000000+$H184+ROW()/100000,"")</f>
      </c>
      <c r="M184" s="200">
        <f>IF($C184,IF('Proyecto Datos (OKR´s)'!$E184="","(Sin sprint)",'Proyecto Datos (OKR´s)'!$E184),"")</f>
      </c>
      <c r="N184" s="200">
        <f>IF($C184,IF('Proyecto Datos (OKR´s)'!$E184="",9999,'Proyecto Datos (OKR´s)'!$E184),"")</f>
      </c>
    </row>
    <row r="185">
      <c r="A185" s="200">
        <f>ROW()</f>
      </c>
      <c r="B185" s="200">
        <f>ISTEXT('Proyecto Datos (OKR´s)'!$K185)</f>
      </c>
      <c r="C185" s="200">
        <f>AND(LEN('Proyecto Datos (OKR´s)'!$G185)&gt;0,NOT($B185),OR(ISNUMBER('Proyecto Datos (OKR´s)'!$F185),ISNUMBER('Proyecto Datos (OKR´s)'!$L185)))</f>
      </c>
      <c r="D185" s="201">
        <f>IF($C185,IFERROR(LOOKUP(2,1/((ISTEXT('Proyecto Datos (OKR´s)'!$K$7:$K185))*(LEN('Proyecto Datos (OKR´s)'!$G$7:$G185)&gt;0)),'Proyecto Datos (OKR´s)'!$G$7:$G185),""),"")</f>
      </c>
      <c r="E185" s="200">
        <f>IF($C185,'Proyecto Datos (OKR´s)'!$E185,"")</f>
      </c>
      <c r="F185" s="201">
        <f>IF($C185,'Proyecto Datos (OKR´s)'!$G185,"")</f>
      </c>
      <c r="G185" s="201">
        <f>IF($C185,IF('Proyecto Datos (OKR´s)'!$I185="","(Sin asignar)",'Proyecto Datos (OKR´s)'!$I185),"")</f>
      </c>
      <c r="H185" s="200">
        <f>IF($C185,IF(ISNUMBER('Proyecto Datos (OKR´s)'!$F185),'Proyecto Datos (OKR´s)'!$F185,'Proyecto Datos (OKR´s)'!$L185),"")</f>
      </c>
      <c r="I185" s="200">
        <f>IF($C185,'Proyecto Datos (OKR´s)'!$J185,"")</f>
      </c>
      <c r="J185" s="201">
        <f>IF($C185,IF($I185&gt;=1,"Completado",IF($H185&lt;TODAY(),"Vencido",IF(($H185-TODAY())&lt;='Entregas Próximas'!$I$3,"Próximo a vencer","En curso"))),"")</f>
      </c>
      <c r="K185" s="200">
        <f>IF($C185,$H185-TODAY(),"")</f>
      </c>
      <c r="L185" s="200">
        <f>IF($C185,$N185*1000000+$H185+ROW()/100000,"")</f>
      </c>
      <c r="M185" s="200">
        <f>IF($C185,IF('Proyecto Datos (OKR´s)'!$E185="","(Sin sprint)",'Proyecto Datos (OKR´s)'!$E185),"")</f>
      </c>
      <c r="N185" s="200">
        <f>IF($C185,IF('Proyecto Datos (OKR´s)'!$E185="",9999,'Proyecto Datos (OKR´s)'!$E185),"")</f>
      </c>
    </row>
    <row r="186">
      <c r="A186" s="200">
        <f>ROW()</f>
      </c>
      <c r="B186" s="200">
        <f>ISTEXT('Proyecto Datos (OKR´s)'!$K186)</f>
      </c>
      <c r="C186" s="200">
        <f>AND(LEN('Proyecto Datos (OKR´s)'!$G186)&gt;0,NOT($B186),OR(ISNUMBER('Proyecto Datos (OKR´s)'!$F186),ISNUMBER('Proyecto Datos (OKR´s)'!$L186)))</f>
      </c>
      <c r="D186" s="201">
        <f>IF($C186,IFERROR(LOOKUP(2,1/((ISTEXT('Proyecto Datos (OKR´s)'!$K$7:$K186))*(LEN('Proyecto Datos (OKR´s)'!$G$7:$G186)&gt;0)),'Proyecto Datos (OKR´s)'!$G$7:$G186),""),"")</f>
      </c>
      <c r="E186" s="200">
        <f>IF($C186,'Proyecto Datos (OKR´s)'!$E186,"")</f>
      </c>
      <c r="F186" s="201">
        <f>IF($C186,'Proyecto Datos (OKR´s)'!$G186,"")</f>
      </c>
      <c r="G186" s="201">
        <f>IF($C186,IF('Proyecto Datos (OKR´s)'!$I186="","(Sin asignar)",'Proyecto Datos (OKR´s)'!$I186),"")</f>
      </c>
      <c r="H186" s="200">
        <f>IF($C186,IF(ISNUMBER('Proyecto Datos (OKR´s)'!$F186),'Proyecto Datos (OKR´s)'!$F186,'Proyecto Datos (OKR´s)'!$L186),"")</f>
      </c>
      <c r="I186" s="200">
        <f>IF($C186,'Proyecto Datos (OKR´s)'!$J186,"")</f>
      </c>
      <c r="J186" s="201">
        <f>IF($C186,IF($I186&gt;=1,"Completado",IF($H186&lt;TODAY(),"Vencido",IF(($H186-TODAY())&lt;='Entregas Próximas'!$I$3,"Próximo a vencer","En curso"))),"")</f>
      </c>
      <c r="K186" s="200">
        <f>IF($C186,$H186-TODAY(),"")</f>
      </c>
      <c r="L186" s="200">
        <f>IF($C186,$N186*1000000+$H186+ROW()/100000,"")</f>
      </c>
      <c r="M186" s="200">
        <f>IF($C186,IF('Proyecto Datos (OKR´s)'!$E186="","(Sin sprint)",'Proyecto Datos (OKR´s)'!$E186),"")</f>
      </c>
      <c r="N186" s="200">
        <f>IF($C186,IF('Proyecto Datos (OKR´s)'!$E186="",9999,'Proyecto Datos (OKR´s)'!$E186),"")</f>
      </c>
    </row>
    <row r="187">
      <c r="A187" s="200">
        <f>ROW()</f>
      </c>
      <c r="B187" s="200">
        <f>ISTEXT('Proyecto Datos (OKR´s)'!$K187)</f>
      </c>
      <c r="C187" s="200">
        <f>AND(LEN('Proyecto Datos (OKR´s)'!$G187)&gt;0,NOT($B187),OR(ISNUMBER('Proyecto Datos (OKR´s)'!$F187),ISNUMBER('Proyecto Datos (OKR´s)'!$L187)))</f>
      </c>
      <c r="D187" s="201">
        <f>IF($C187,IFERROR(LOOKUP(2,1/((ISTEXT('Proyecto Datos (OKR´s)'!$K$7:$K187))*(LEN('Proyecto Datos (OKR´s)'!$G$7:$G187)&gt;0)),'Proyecto Datos (OKR´s)'!$G$7:$G187),""),"")</f>
      </c>
      <c r="E187" s="200">
        <f>IF($C187,'Proyecto Datos (OKR´s)'!$E187,"")</f>
      </c>
      <c r="F187" s="201">
        <f>IF($C187,'Proyecto Datos (OKR´s)'!$G187,"")</f>
      </c>
      <c r="G187" s="201">
        <f>IF($C187,IF('Proyecto Datos (OKR´s)'!$I187="","(Sin asignar)",'Proyecto Datos (OKR´s)'!$I187),"")</f>
      </c>
      <c r="H187" s="200">
        <f>IF($C187,IF(ISNUMBER('Proyecto Datos (OKR´s)'!$F187),'Proyecto Datos (OKR´s)'!$F187,'Proyecto Datos (OKR´s)'!$L187),"")</f>
      </c>
      <c r="I187" s="200">
        <f>IF($C187,'Proyecto Datos (OKR´s)'!$J187,"")</f>
      </c>
      <c r="J187" s="201">
        <f>IF($C187,IF($I187&gt;=1,"Completado",IF($H187&lt;TODAY(),"Vencido",IF(($H187-TODAY())&lt;='Entregas Próximas'!$I$3,"Próximo a vencer","En curso"))),"")</f>
      </c>
      <c r="K187" s="200">
        <f>IF($C187,$H187-TODAY(),"")</f>
      </c>
      <c r="L187" s="200">
        <f>IF($C187,$N187*1000000+$H187+ROW()/100000,"")</f>
      </c>
      <c r="M187" s="200">
        <f>IF($C187,IF('Proyecto Datos (OKR´s)'!$E187="","(Sin sprint)",'Proyecto Datos (OKR´s)'!$E187),"")</f>
      </c>
      <c r="N187" s="200">
        <f>IF($C187,IF('Proyecto Datos (OKR´s)'!$E187="",9999,'Proyecto Datos (OKR´s)'!$E187),"")</f>
      </c>
    </row>
    <row r="188">
      <c r="A188" s="200">
        <f>ROW()</f>
      </c>
      <c r="B188" s="200">
        <f>ISTEXT('Proyecto Datos (OKR´s)'!$K188)</f>
      </c>
      <c r="C188" s="200">
        <f>AND(LEN('Proyecto Datos (OKR´s)'!$G188)&gt;0,NOT($B188),OR(ISNUMBER('Proyecto Datos (OKR´s)'!$F188),ISNUMBER('Proyecto Datos (OKR´s)'!$L188)))</f>
      </c>
      <c r="D188" s="201">
        <f>IF($C188,IFERROR(LOOKUP(2,1/((ISTEXT('Proyecto Datos (OKR´s)'!$K$7:$K188))*(LEN('Proyecto Datos (OKR´s)'!$G$7:$G188)&gt;0)),'Proyecto Datos (OKR´s)'!$G$7:$G188),""),"")</f>
      </c>
      <c r="E188" s="200">
        <f>IF($C188,'Proyecto Datos (OKR´s)'!$E188,"")</f>
      </c>
      <c r="F188" s="201">
        <f>IF($C188,'Proyecto Datos (OKR´s)'!$G188,"")</f>
      </c>
      <c r="G188" s="201">
        <f>IF($C188,IF('Proyecto Datos (OKR´s)'!$I188="","(Sin asignar)",'Proyecto Datos (OKR´s)'!$I188),"")</f>
      </c>
      <c r="H188" s="200">
        <f>IF($C188,IF(ISNUMBER('Proyecto Datos (OKR´s)'!$F188),'Proyecto Datos (OKR´s)'!$F188,'Proyecto Datos (OKR´s)'!$L188),"")</f>
      </c>
      <c r="I188" s="200">
        <f>IF($C188,'Proyecto Datos (OKR´s)'!$J188,"")</f>
      </c>
      <c r="J188" s="201">
        <f>IF($C188,IF($I188&gt;=1,"Completado",IF($H188&lt;TODAY(),"Vencido",IF(($H188-TODAY())&lt;='Entregas Próximas'!$I$3,"Próximo a vencer","En curso"))),"")</f>
      </c>
      <c r="K188" s="200">
        <f>IF($C188,$H188-TODAY(),"")</f>
      </c>
      <c r="L188" s="200">
        <f>IF($C188,$N188*1000000+$H188+ROW()/100000,"")</f>
      </c>
      <c r="M188" s="200">
        <f>IF($C188,IF('Proyecto Datos (OKR´s)'!$E188="","(Sin sprint)",'Proyecto Datos (OKR´s)'!$E188),"")</f>
      </c>
      <c r="N188" s="200">
        <f>IF($C188,IF('Proyecto Datos (OKR´s)'!$E188="",9999,'Proyecto Datos (OKR´s)'!$E188),"")</f>
      </c>
    </row>
    <row r="189">
      <c r="A189" s="200">
        <f>ROW()</f>
      </c>
      <c r="B189" s="200">
        <f>ISTEXT('Proyecto Datos (OKR´s)'!$K189)</f>
      </c>
      <c r="C189" s="200">
        <f>AND(LEN('Proyecto Datos (OKR´s)'!$G189)&gt;0,NOT($B189),OR(ISNUMBER('Proyecto Datos (OKR´s)'!$F189),ISNUMBER('Proyecto Datos (OKR´s)'!$L189)))</f>
      </c>
      <c r="D189" s="201">
        <f>IF($C189,IFERROR(LOOKUP(2,1/((ISTEXT('Proyecto Datos (OKR´s)'!$K$7:$K189))*(LEN('Proyecto Datos (OKR´s)'!$G$7:$G189)&gt;0)),'Proyecto Datos (OKR´s)'!$G$7:$G189),""),"")</f>
      </c>
      <c r="E189" s="200">
        <f>IF($C189,'Proyecto Datos (OKR´s)'!$E189,"")</f>
      </c>
      <c r="F189" s="201">
        <f>IF($C189,'Proyecto Datos (OKR´s)'!$G189,"")</f>
      </c>
      <c r="G189" s="201">
        <f>IF($C189,IF('Proyecto Datos (OKR´s)'!$I189="","(Sin asignar)",'Proyecto Datos (OKR´s)'!$I189),"")</f>
      </c>
      <c r="H189" s="200">
        <f>IF($C189,IF(ISNUMBER('Proyecto Datos (OKR´s)'!$F189),'Proyecto Datos (OKR´s)'!$F189,'Proyecto Datos (OKR´s)'!$L189),"")</f>
      </c>
      <c r="I189" s="200">
        <f>IF($C189,'Proyecto Datos (OKR´s)'!$J189,"")</f>
      </c>
      <c r="J189" s="201">
        <f>IF($C189,IF($I189&gt;=1,"Completado",IF($H189&lt;TODAY(),"Vencido",IF(($H189-TODAY())&lt;='Entregas Próximas'!$I$3,"Próximo a vencer","En curso"))),"")</f>
      </c>
      <c r="K189" s="200">
        <f>IF($C189,$H189-TODAY(),"")</f>
      </c>
      <c r="L189" s="200">
        <f>IF($C189,$N189*1000000+$H189+ROW()/100000,"")</f>
      </c>
      <c r="M189" s="200">
        <f>IF($C189,IF('Proyecto Datos (OKR´s)'!$E189="","(Sin sprint)",'Proyecto Datos (OKR´s)'!$E189),"")</f>
      </c>
      <c r="N189" s="200">
        <f>IF($C189,IF('Proyecto Datos (OKR´s)'!$E189="",9999,'Proyecto Datos (OKR´s)'!$E189),"")</f>
      </c>
    </row>
    <row r="190">
      <c r="A190" s="200">
        <f>ROW()</f>
      </c>
      <c r="B190" s="200">
        <f>ISTEXT('Proyecto Datos (OKR´s)'!$K190)</f>
      </c>
      <c r="C190" s="200">
        <f>AND(LEN('Proyecto Datos (OKR´s)'!$G190)&gt;0,NOT($B190),OR(ISNUMBER('Proyecto Datos (OKR´s)'!$F190),ISNUMBER('Proyecto Datos (OKR´s)'!$L190)))</f>
      </c>
      <c r="D190" s="201">
        <f>IF($C190,IFERROR(LOOKUP(2,1/((ISTEXT('Proyecto Datos (OKR´s)'!$K$7:$K190))*(LEN('Proyecto Datos (OKR´s)'!$G$7:$G190)&gt;0)),'Proyecto Datos (OKR´s)'!$G$7:$G190),""),"")</f>
      </c>
      <c r="E190" s="200">
        <f>IF($C190,'Proyecto Datos (OKR´s)'!$E190,"")</f>
      </c>
      <c r="F190" s="201">
        <f>IF($C190,'Proyecto Datos (OKR´s)'!$G190,"")</f>
      </c>
      <c r="G190" s="201">
        <f>IF($C190,IF('Proyecto Datos (OKR´s)'!$I190="","(Sin asignar)",'Proyecto Datos (OKR´s)'!$I190),"")</f>
      </c>
      <c r="H190" s="200">
        <f>IF($C190,IF(ISNUMBER('Proyecto Datos (OKR´s)'!$F190),'Proyecto Datos (OKR´s)'!$F190,'Proyecto Datos (OKR´s)'!$L190),"")</f>
      </c>
      <c r="I190" s="200">
        <f>IF($C190,'Proyecto Datos (OKR´s)'!$J190,"")</f>
      </c>
      <c r="J190" s="201">
        <f>IF($C190,IF($I190&gt;=1,"Completado",IF($H190&lt;TODAY(),"Vencido",IF(($H190-TODAY())&lt;='Entregas Próximas'!$I$3,"Próximo a vencer","En curso"))),"")</f>
      </c>
      <c r="K190" s="200">
        <f>IF($C190,$H190-TODAY(),"")</f>
      </c>
      <c r="L190" s="200">
        <f>IF($C190,$N190*1000000+$H190+ROW()/100000,"")</f>
      </c>
      <c r="M190" s="200">
        <f>IF($C190,IF('Proyecto Datos (OKR´s)'!$E190="","(Sin sprint)",'Proyecto Datos (OKR´s)'!$E190),"")</f>
      </c>
      <c r="N190" s="200">
        <f>IF($C190,IF('Proyecto Datos (OKR´s)'!$E190="",9999,'Proyecto Datos (OKR´s)'!$E190),"")</f>
      </c>
    </row>
    <row r="191">
      <c r="A191" s="200">
        <f>ROW()</f>
      </c>
      <c r="B191" s="200">
        <f>ISTEXT('Proyecto Datos (OKR´s)'!$K191)</f>
      </c>
      <c r="C191" s="200">
        <f>AND(LEN('Proyecto Datos (OKR´s)'!$G191)&gt;0,NOT($B191),OR(ISNUMBER('Proyecto Datos (OKR´s)'!$F191),ISNUMBER('Proyecto Datos (OKR´s)'!$L191)))</f>
      </c>
      <c r="D191" s="201">
        <f>IF($C191,IFERROR(LOOKUP(2,1/((ISTEXT('Proyecto Datos (OKR´s)'!$K$7:$K191))*(LEN('Proyecto Datos (OKR´s)'!$G$7:$G191)&gt;0)),'Proyecto Datos (OKR´s)'!$G$7:$G191),""),"")</f>
      </c>
      <c r="E191" s="200">
        <f>IF($C191,'Proyecto Datos (OKR´s)'!$E191,"")</f>
      </c>
      <c r="F191" s="201">
        <f>IF($C191,'Proyecto Datos (OKR´s)'!$G191,"")</f>
      </c>
      <c r="G191" s="201">
        <f>IF($C191,IF('Proyecto Datos (OKR´s)'!$I191="","(Sin asignar)",'Proyecto Datos (OKR´s)'!$I191),"")</f>
      </c>
      <c r="H191" s="200">
        <f>IF($C191,IF(ISNUMBER('Proyecto Datos (OKR´s)'!$F191),'Proyecto Datos (OKR´s)'!$F191,'Proyecto Datos (OKR´s)'!$L191),"")</f>
      </c>
      <c r="I191" s="200">
        <f>IF($C191,'Proyecto Datos (OKR´s)'!$J191,"")</f>
      </c>
      <c r="J191" s="201">
        <f>IF($C191,IF($I191&gt;=1,"Completado",IF($H191&lt;TODAY(),"Vencido",IF(($H191-TODAY())&lt;='Entregas Próximas'!$I$3,"Próximo a vencer","En curso"))),"")</f>
      </c>
      <c r="K191" s="200">
        <f>IF($C191,$H191-TODAY(),"")</f>
      </c>
      <c r="L191" s="200">
        <f>IF($C191,$N191*1000000+$H191+ROW()/100000,"")</f>
      </c>
      <c r="M191" s="200">
        <f>IF($C191,IF('Proyecto Datos (OKR´s)'!$E191="","(Sin sprint)",'Proyecto Datos (OKR´s)'!$E191),"")</f>
      </c>
      <c r="N191" s="200">
        <f>IF($C191,IF('Proyecto Datos (OKR´s)'!$E191="",9999,'Proyecto Datos (OKR´s)'!$E191),"")</f>
      </c>
    </row>
    <row r="192">
      <c r="A192" s="200">
        <f>ROW()</f>
      </c>
      <c r="B192" s="200">
        <f>ISTEXT('Proyecto Datos (OKR´s)'!$K192)</f>
      </c>
      <c r="C192" s="200">
        <f>AND(LEN('Proyecto Datos (OKR´s)'!$G192)&gt;0,NOT($B192),OR(ISNUMBER('Proyecto Datos (OKR´s)'!$F192),ISNUMBER('Proyecto Datos (OKR´s)'!$L192)))</f>
      </c>
      <c r="D192" s="201">
        <f>IF($C192,IFERROR(LOOKUP(2,1/((ISTEXT('Proyecto Datos (OKR´s)'!$K$7:$K192))*(LEN('Proyecto Datos (OKR´s)'!$G$7:$G192)&gt;0)),'Proyecto Datos (OKR´s)'!$G$7:$G192),""),"")</f>
      </c>
      <c r="E192" s="200">
        <f>IF($C192,'Proyecto Datos (OKR´s)'!$E192,"")</f>
      </c>
      <c r="F192" s="201">
        <f>IF($C192,'Proyecto Datos (OKR´s)'!$G192,"")</f>
      </c>
      <c r="G192" s="201">
        <f>IF($C192,IF('Proyecto Datos (OKR´s)'!$I192="","(Sin asignar)",'Proyecto Datos (OKR´s)'!$I192),"")</f>
      </c>
      <c r="H192" s="200">
        <f>IF($C192,IF(ISNUMBER('Proyecto Datos (OKR´s)'!$F192),'Proyecto Datos (OKR´s)'!$F192,'Proyecto Datos (OKR´s)'!$L192),"")</f>
      </c>
      <c r="I192" s="200">
        <f>IF($C192,'Proyecto Datos (OKR´s)'!$J192,"")</f>
      </c>
      <c r="J192" s="201">
        <f>IF($C192,IF($I192&gt;=1,"Completado",IF($H192&lt;TODAY(),"Vencido",IF(($H192-TODAY())&lt;='Entregas Próximas'!$I$3,"Próximo a vencer","En curso"))),"")</f>
      </c>
      <c r="K192" s="200">
        <f>IF($C192,$H192-TODAY(),"")</f>
      </c>
      <c r="L192" s="200">
        <f>IF($C192,$N192*1000000+$H192+ROW()/100000,"")</f>
      </c>
      <c r="M192" s="200">
        <f>IF($C192,IF('Proyecto Datos (OKR´s)'!$E192="","(Sin sprint)",'Proyecto Datos (OKR´s)'!$E192),"")</f>
      </c>
      <c r="N192" s="200">
        <f>IF($C192,IF('Proyecto Datos (OKR´s)'!$E192="",9999,'Proyecto Datos (OKR´s)'!$E192),"")</f>
      </c>
    </row>
    <row r="193">
      <c r="A193" s="200">
        <f>ROW()</f>
      </c>
      <c r="B193" s="200">
        <f>ISTEXT('Proyecto Datos (OKR´s)'!$K193)</f>
      </c>
      <c r="C193" s="200">
        <f>AND(LEN('Proyecto Datos (OKR´s)'!$G193)&gt;0,NOT($B193),OR(ISNUMBER('Proyecto Datos (OKR´s)'!$F193),ISNUMBER('Proyecto Datos (OKR´s)'!$L193)))</f>
      </c>
      <c r="D193" s="201">
        <f>IF($C193,IFERROR(LOOKUP(2,1/((ISTEXT('Proyecto Datos (OKR´s)'!$K$7:$K193))*(LEN('Proyecto Datos (OKR´s)'!$G$7:$G193)&gt;0)),'Proyecto Datos (OKR´s)'!$G$7:$G193),""),"")</f>
      </c>
      <c r="E193" s="200">
        <f>IF($C193,'Proyecto Datos (OKR´s)'!$E193,"")</f>
      </c>
      <c r="F193" s="201">
        <f>IF($C193,'Proyecto Datos (OKR´s)'!$G193,"")</f>
      </c>
      <c r="G193" s="201">
        <f>IF($C193,IF('Proyecto Datos (OKR´s)'!$I193="","(Sin asignar)",'Proyecto Datos (OKR´s)'!$I193),"")</f>
      </c>
      <c r="H193" s="200">
        <f>IF($C193,IF(ISNUMBER('Proyecto Datos (OKR´s)'!$F193),'Proyecto Datos (OKR´s)'!$F193,'Proyecto Datos (OKR´s)'!$L193),"")</f>
      </c>
      <c r="I193" s="200">
        <f>IF($C193,'Proyecto Datos (OKR´s)'!$J193,"")</f>
      </c>
      <c r="J193" s="201">
        <f>IF($C193,IF($I193&gt;=1,"Completado",IF($H193&lt;TODAY(),"Vencido",IF(($H193-TODAY())&lt;='Entregas Próximas'!$I$3,"Próximo a vencer","En curso"))),"")</f>
      </c>
      <c r="K193" s="200">
        <f>IF($C193,$H193-TODAY(),"")</f>
      </c>
      <c r="L193" s="200">
        <f>IF($C193,$N193*1000000+$H193+ROW()/100000,"")</f>
      </c>
      <c r="M193" s="200">
        <f>IF($C193,IF('Proyecto Datos (OKR´s)'!$E193="","(Sin sprint)",'Proyecto Datos (OKR´s)'!$E193),"")</f>
      </c>
      <c r="N193" s="200">
        <f>IF($C193,IF('Proyecto Datos (OKR´s)'!$E193="",9999,'Proyecto Datos (OKR´s)'!$E193),"")</f>
      </c>
    </row>
    <row r="194">
      <c r="A194" s="200">
        <f>ROW()</f>
      </c>
      <c r="B194" s="200">
        <f>ISTEXT('Proyecto Datos (OKR´s)'!$K194)</f>
      </c>
      <c r="C194" s="200">
        <f>AND(LEN('Proyecto Datos (OKR´s)'!$G194)&gt;0,NOT($B194),OR(ISNUMBER('Proyecto Datos (OKR´s)'!$F194),ISNUMBER('Proyecto Datos (OKR´s)'!$L194)))</f>
      </c>
      <c r="D194" s="201">
        <f>IF($C194,IFERROR(LOOKUP(2,1/((ISTEXT('Proyecto Datos (OKR´s)'!$K$7:$K194))*(LEN('Proyecto Datos (OKR´s)'!$G$7:$G194)&gt;0)),'Proyecto Datos (OKR´s)'!$G$7:$G194),""),"")</f>
      </c>
      <c r="E194" s="200">
        <f>IF($C194,'Proyecto Datos (OKR´s)'!$E194,"")</f>
      </c>
      <c r="F194" s="201">
        <f>IF($C194,'Proyecto Datos (OKR´s)'!$G194,"")</f>
      </c>
      <c r="G194" s="201">
        <f>IF($C194,IF('Proyecto Datos (OKR´s)'!$I194="","(Sin asignar)",'Proyecto Datos (OKR´s)'!$I194),"")</f>
      </c>
      <c r="H194" s="200">
        <f>IF($C194,IF(ISNUMBER('Proyecto Datos (OKR´s)'!$F194),'Proyecto Datos (OKR´s)'!$F194,'Proyecto Datos (OKR´s)'!$L194),"")</f>
      </c>
      <c r="I194" s="200">
        <f>IF($C194,'Proyecto Datos (OKR´s)'!$J194,"")</f>
      </c>
      <c r="J194" s="201">
        <f>IF($C194,IF($I194&gt;=1,"Completado",IF($H194&lt;TODAY(),"Vencido",IF(($H194-TODAY())&lt;='Entregas Próximas'!$I$3,"Próximo a vencer","En curso"))),"")</f>
      </c>
      <c r="K194" s="200">
        <f>IF($C194,$H194-TODAY(),"")</f>
      </c>
      <c r="L194" s="200">
        <f>IF($C194,$N194*1000000+$H194+ROW()/100000,"")</f>
      </c>
      <c r="M194" s="200">
        <f>IF($C194,IF('Proyecto Datos (OKR´s)'!$E194="","(Sin sprint)",'Proyecto Datos (OKR´s)'!$E194),"")</f>
      </c>
      <c r="N194" s="200">
        <f>IF($C194,IF('Proyecto Datos (OKR´s)'!$E194="",9999,'Proyecto Datos (OKR´s)'!$E194),"")</f>
      </c>
    </row>
    <row r="195">
      <c r="A195" s="200">
        <f>ROW()</f>
      </c>
      <c r="B195" s="200">
        <f>ISTEXT('Proyecto Datos (OKR´s)'!$K195)</f>
      </c>
      <c r="C195" s="200">
        <f>AND(LEN('Proyecto Datos (OKR´s)'!$G195)&gt;0,NOT($B195),OR(ISNUMBER('Proyecto Datos (OKR´s)'!$F195),ISNUMBER('Proyecto Datos (OKR´s)'!$L195)))</f>
      </c>
      <c r="D195" s="201">
        <f>IF($C195,IFERROR(LOOKUP(2,1/((ISTEXT('Proyecto Datos (OKR´s)'!$K$7:$K195))*(LEN('Proyecto Datos (OKR´s)'!$G$7:$G195)&gt;0)),'Proyecto Datos (OKR´s)'!$G$7:$G195),""),"")</f>
      </c>
      <c r="E195" s="200">
        <f>IF($C195,'Proyecto Datos (OKR´s)'!$E195,"")</f>
      </c>
      <c r="F195" s="201">
        <f>IF($C195,'Proyecto Datos (OKR´s)'!$G195,"")</f>
      </c>
      <c r="G195" s="201">
        <f>IF($C195,IF('Proyecto Datos (OKR´s)'!$I195="","(Sin asignar)",'Proyecto Datos (OKR´s)'!$I195),"")</f>
      </c>
      <c r="H195" s="200">
        <f>IF($C195,IF(ISNUMBER('Proyecto Datos (OKR´s)'!$F195),'Proyecto Datos (OKR´s)'!$F195,'Proyecto Datos (OKR´s)'!$L195),"")</f>
      </c>
      <c r="I195" s="200">
        <f>IF($C195,'Proyecto Datos (OKR´s)'!$J195,"")</f>
      </c>
      <c r="J195" s="201">
        <f>IF($C195,IF($I195&gt;=1,"Completado",IF($H195&lt;TODAY(),"Vencido",IF(($H195-TODAY())&lt;='Entregas Próximas'!$I$3,"Próximo a vencer","En curso"))),"")</f>
      </c>
      <c r="K195" s="200">
        <f>IF($C195,$H195-TODAY(),"")</f>
      </c>
      <c r="L195" s="200">
        <f>IF($C195,$N195*1000000+$H195+ROW()/100000,"")</f>
      </c>
      <c r="M195" s="200">
        <f>IF($C195,IF('Proyecto Datos (OKR´s)'!$E195="","(Sin sprint)",'Proyecto Datos (OKR´s)'!$E195),"")</f>
      </c>
      <c r="N195" s="200">
        <f>IF($C195,IF('Proyecto Datos (OKR´s)'!$E195="",9999,'Proyecto Datos (OKR´s)'!$E195),"")</f>
      </c>
    </row>
    <row r="196">
      <c r="A196" s="200">
        <f>ROW()</f>
      </c>
      <c r="B196" s="200">
        <f>ISTEXT('Proyecto Datos (OKR´s)'!$K196)</f>
      </c>
      <c r="C196" s="200">
        <f>AND(LEN('Proyecto Datos (OKR´s)'!$G196)&gt;0,NOT($B196),OR(ISNUMBER('Proyecto Datos (OKR´s)'!$F196),ISNUMBER('Proyecto Datos (OKR´s)'!$L196)))</f>
      </c>
      <c r="D196" s="201">
        <f>IF($C196,IFERROR(LOOKUP(2,1/((ISTEXT('Proyecto Datos (OKR´s)'!$K$7:$K196))*(LEN('Proyecto Datos (OKR´s)'!$G$7:$G196)&gt;0)),'Proyecto Datos (OKR´s)'!$G$7:$G196),""),"")</f>
      </c>
      <c r="E196" s="200">
        <f>IF($C196,'Proyecto Datos (OKR´s)'!$E196,"")</f>
      </c>
      <c r="F196" s="201">
        <f>IF($C196,'Proyecto Datos (OKR´s)'!$G196,"")</f>
      </c>
      <c r="G196" s="201">
        <f>IF($C196,IF('Proyecto Datos (OKR´s)'!$I196="","(Sin asignar)",'Proyecto Datos (OKR´s)'!$I196),"")</f>
      </c>
      <c r="H196" s="200">
        <f>IF($C196,IF(ISNUMBER('Proyecto Datos (OKR´s)'!$F196),'Proyecto Datos (OKR´s)'!$F196,'Proyecto Datos (OKR´s)'!$L196),"")</f>
      </c>
      <c r="I196" s="200">
        <f>IF($C196,'Proyecto Datos (OKR´s)'!$J196,"")</f>
      </c>
      <c r="J196" s="201">
        <f>IF($C196,IF($I196&gt;=1,"Completado",IF($H196&lt;TODAY(),"Vencido",IF(($H196-TODAY())&lt;='Entregas Próximas'!$I$3,"Próximo a vencer","En curso"))),"")</f>
      </c>
      <c r="K196" s="200">
        <f>IF($C196,$H196-TODAY(),"")</f>
      </c>
      <c r="L196" s="200">
        <f>IF($C196,$N196*1000000+$H196+ROW()/100000,"")</f>
      </c>
      <c r="M196" s="200">
        <f>IF($C196,IF('Proyecto Datos (OKR´s)'!$E196="","(Sin sprint)",'Proyecto Datos (OKR´s)'!$E196),"")</f>
      </c>
      <c r="N196" s="200">
        <f>IF($C196,IF('Proyecto Datos (OKR´s)'!$E196="",9999,'Proyecto Datos (OKR´s)'!$E196),"")</f>
      </c>
    </row>
    <row r="197">
      <c r="A197" s="200">
        <f>ROW()</f>
      </c>
      <c r="B197" s="200">
        <f>ISTEXT('Proyecto Datos (OKR´s)'!$K197)</f>
      </c>
      <c r="C197" s="200">
        <f>AND(LEN('Proyecto Datos (OKR´s)'!$G197)&gt;0,NOT($B197),OR(ISNUMBER('Proyecto Datos (OKR´s)'!$F197),ISNUMBER('Proyecto Datos (OKR´s)'!$L197)))</f>
      </c>
      <c r="D197" s="201">
        <f>IF($C197,IFERROR(LOOKUP(2,1/((ISTEXT('Proyecto Datos (OKR´s)'!$K$7:$K197))*(LEN('Proyecto Datos (OKR´s)'!$G$7:$G197)&gt;0)),'Proyecto Datos (OKR´s)'!$G$7:$G197),""),"")</f>
      </c>
      <c r="E197" s="200">
        <f>IF($C197,'Proyecto Datos (OKR´s)'!$E197,"")</f>
      </c>
      <c r="F197" s="201">
        <f>IF($C197,'Proyecto Datos (OKR´s)'!$G197,"")</f>
      </c>
      <c r="G197" s="201">
        <f>IF($C197,IF('Proyecto Datos (OKR´s)'!$I197="","(Sin asignar)",'Proyecto Datos (OKR´s)'!$I197),"")</f>
      </c>
      <c r="H197" s="200">
        <f>IF($C197,IF(ISNUMBER('Proyecto Datos (OKR´s)'!$F197),'Proyecto Datos (OKR´s)'!$F197,'Proyecto Datos (OKR´s)'!$L197),"")</f>
      </c>
      <c r="I197" s="200">
        <f>IF($C197,'Proyecto Datos (OKR´s)'!$J197,"")</f>
      </c>
      <c r="J197" s="201">
        <f>IF($C197,IF($I197&gt;=1,"Completado",IF($H197&lt;TODAY(),"Vencido",IF(($H197-TODAY())&lt;='Entregas Próximas'!$I$3,"Próximo a vencer","En curso"))),"")</f>
      </c>
      <c r="K197" s="200">
        <f>IF($C197,$H197-TODAY(),"")</f>
      </c>
      <c r="L197" s="200">
        <f>IF($C197,$N197*1000000+$H197+ROW()/100000,"")</f>
      </c>
      <c r="M197" s="200">
        <f>IF($C197,IF('Proyecto Datos (OKR´s)'!$E197="","(Sin sprint)",'Proyecto Datos (OKR´s)'!$E197),"")</f>
      </c>
      <c r="N197" s="200">
        <f>IF($C197,IF('Proyecto Datos (OKR´s)'!$E197="",9999,'Proyecto Datos (OKR´s)'!$E197),"")</f>
      </c>
    </row>
    <row r="198">
      <c r="A198" s="200">
        <f>ROW()</f>
      </c>
      <c r="B198" s="200">
        <f>ISTEXT('Proyecto Datos (OKR´s)'!$K198)</f>
      </c>
      <c r="C198" s="200">
        <f>AND(LEN('Proyecto Datos (OKR´s)'!$G198)&gt;0,NOT($B198),OR(ISNUMBER('Proyecto Datos (OKR´s)'!$F198),ISNUMBER('Proyecto Datos (OKR´s)'!$L198)))</f>
      </c>
      <c r="D198" s="201">
        <f>IF($C198,IFERROR(LOOKUP(2,1/((ISTEXT('Proyecto Datos (OKR´s)'!$K$7:$K198))*(LEN('Proyecto Datos (OKR´s)'!$G$7:$G198)&gt;0)),'Proyecto Datos (OKR´s)'!$G$7:$G198),""),"")</f>
      </c>
      <c r="E198" s="200">
        <f>IF($C198,'Proyecto Datos (OKR´s)'!$E198,"")</f>
      </c>
      <c r="F198" s="201">
        <f>IF($C198,'Proyecto Datos (OKR´s)'!$G198,"")</f>
      </c>
      <c r="G198" s="201">
        <f>IF($C198,IF('Proyecto Datos (OKR´s)'!$I198="","(Sin asignar)",'Proyecto Datos (OKR´s)'!$I198),"")</f>
      </c>
      <c r="H198" s="200">
        <f>IF($C198,IF(ISNUMBER('Proyecto Datos (OKR´s)'!$F198),'Proyecto Datos (OKR´s)'!$F198,'Proyecto Datos (OKR´s)'!$L198),"")</f>
      </c>
      <c r="I198" s="200">
        <f>IF($C198,'Proyecto Datos (OKR´s)'!$J198,"")</f>
      </c>
      <c r="J198" s="201">
        <f>IF($C198,IF($I198&gt;=1,"Completado",IF($H198&lt;TODAY(),"Vencido",IF(($H198-TODAY())&lt;='Entregas Próximas'!$I$3,"Próximo a vencer","En curso"))),"")</f>
      </c>
      <c r="K198" s="200">
        <f>IF($C198,$H198-TODAY(),"")</f>
      </c>
      <c r="L198" s="200">
        <f>IF($C198,$N198*1000000+$H198+ROW()/100000,"")</f>
      </c>
      <c r="M198" s="200">
        <f>IF($C198,IF('Proyecto Datos (OKR´s)'!$E198="","(Sin sprint)",'Proyecto Datos (OKR´s)'!$E198),"")</f>
      </c>
      <c r="N198" s="200">
        <f>IF($C198,IF('Proyecto Datos (OKR´s)'!$E198="",9999,'Proyecto Datos (OKR´s)'!$E198),"")</f>
      </c>
    </row>
    <row r="199">
      <c r="A199" s="200">
        <f>ROW()</f>
      </c>
      <c r="B199" s="200">
        <f>ISTEXT('Proyecto Datos (OKR´s)'!$K199)</f>
      </c>
      <c r="C199" s="200">
        <f>AND(LEN('Proyecto Datos (OKR´s)'!$G199)&gt;0,NOT($B199),OR(ISNUMBER('Proyecto Datos (OKR´s)'!$F199),ISNUMBER('Proyecto Datos (OKR´s)'!$L199)))</f>
      </c>
      <c r="D199" s="201">
        <f>IF($C199,IFERROR(LOOKUP(2,1/((ISTEXT('Proyecto Datos (OKR´s)'!$K$7:$K199))*(LEN('Proyecto Datos (OKR´s)'!$G$7:$G199)&gt;0)),'Proyecto Datos (OKR´s)'!$G$7:$G199),""),"")</f>
      </c>
      <c r="E199" s="200">
        <f>IF($C199,'Proyecto Datos (OKR´s)'!$E199,"")</f>
      </c>
      <c r="F199" s="201">
        <f>IF($C199,'Proyecto Datos (OKR´s)'!$G199,"")</f>
      </c>
      <c r="G199" s="201">
        <f>IF($C199,IF('Proyecto Datos (OKR´s)'!$I199="","(Sin asignar)",'Proyecto Datos (OKR´s)'!$I199),"")</f>
      </c>
      <c r="H199" s="200">
        <f>IF($C199,IF(ISNUMBER('Proyecto Datos (OKR´s)'!$F199),'Proyecto Datos (OKR´s)'!$F199,'Proyecto Datos (OKR´s)'!$L199),"")</f>
      </c>
      <c r="I199" s="200">
        <f>IF($C199,'Proyecto Datos (OKR´s)'!$J199,"")</f>
      </c>
      <c r="J199" s="201">
        <f>IF($C199,IF($I199&gt;=1,"Completado",IF($H199&lt;TODAY(),"Vencido",IF(($H199-TODAY())&lt;='Entregas Próximas'!$I$3,"Próximo a vencer","En curso"))),"")</f>
      </c>
      <c r="K199" s="200">
        <f>IF($C199,$H199-TODAY(),"")</f>
      </c>
      <c r="L199" s="200">
        <f>IF($C199,$N199*1000000+$H199+ROW()/100000,"")</f>
      </c>
      <c r="M199" s="200">
        <f>IF($C199,IF('Proyecto Datos (OKR´s)'!$E199="","(Sin sprint)",'Proyecto Datos (OKR´s)'!$E199),"")</f>
      </c>
      <c r="N199" s="200">
        <f>IF($C199,IF('Proyecto Datos (OKR´s)'!$E199="",9999,'Proyecto Datos (OKR´s)'!$E199),"")</f>
      </c>
    </row>
    <row r="200">
      <c r="A200" s="200">
        <f>ROW()</f>
      </c>
      <c r="B200" s="200">
        <f>ISTEXT('Proyecto Datos (OKR´s)'!$K200)</f>
      </c>
      <c r="C200" s="200">
        <f>AND(LEN('Proyecto Datos (OKR´s)'!$G200)&gt;0,NOT($B200),OR(ISNUMBER('Proyecto Datos (OKR´s)'!$F200),ISNUMBER('Proyecto Datos (OKR´s)'!$L200)))</f>
      </c>
      <c r="D200" s="201">
        <f>IF($C200,IFERROR(LOOKUP(2,1/((ISTEXT('Proyecto Datos (OKR´s)'!$K$7:$K200))*(LEN('Proyecto Datos (OKR´s)'!$G$7:$G200)&gt;0)),'Proyecto Datos (OKR´s)'!$G$7:$G200),""),"")</f>
      </c>
      <c r="E200" s="200">
        <f>IF($C200,'Proyecto Datos (OKR´s)'!$E200,"")</f>
      </c>
      <c r="F200" s="201">
        <f>IF($C200,'Proyecto Datos (OKR´s)'!$G200,"")</f>
      </c>
      <c r="G200" s="201">
        <f>IF($C200,IF('Proyecto Datos (OKR´s)'!$I200="","(Sin asignar)",'Proyecto Datos (OKR´s)'!$I200),"")</f>
      </c>
      <c r="H200" s="200">
        <f>IF($C200,IF(ISNUMBER('Proyecto Datos (OKR´s)'!$F200),'Proyecto Datos (OKR´s)'!$F200,'Proyecto Datos (OKR´s)'!$L200),"")</f>
      </c>
      <c r="I200" s="200">
        <f>IF($C200,'Proyecto Datos (OKR´s)'!$J200,"")</f>
      </c>
      <c r="J200" s="201">
        <f>IF($C200,IF($I200&gt;=1,"Completado",IF($H200&lt;TODAY(),"Vencido",IF(($H200-TODAY())&lt;='Entregas Próximas'!$I$3,"Próximo a vencer","En curso"))),"")</f>
      </c>
      <c r="K200" s="200">
        <f>IF($C200,$H200-TODAY(),"")</f>
      </c>
      <c r="L200" s="200">
        <f>IF($C200,$N200*1000000+$H200+ROW()/100000,"")</f>
      </c>
      <c r="M200" s="200">
        <f>IF($C200,IF('Proyecto Datos (OKR´s)'!$E200="","(Sin sprint)",'Proyecto Datos (OKR´s)'!$E200),"")</f>
      </c>
      <c r="N200" s="200">
        <f>IF($C200,IF('Proyecto Datos (OKR´s)'!$E200="",9999,'Proyecto Datos (OKR´s)'!$E200),"")</f>
      </c>
    </row>
  </sheetData>
  <mergeCells count="1">
    <mergeCell ref="A1:N1"/>
  </mergeCell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