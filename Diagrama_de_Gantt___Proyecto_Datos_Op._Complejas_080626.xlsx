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Tablero" sheetId="15" r:id="rId12"/>
    <sheet name="Entregas Próximas" sheetId="16" r:id="rId13"/>
    <sheet name="Historial de Sprints" sheetId="19" r:id="rId15"/>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<sst xmlns="http://schemas.openxmlformats.org/spreadsheetml/2006/main" count="363" uniqueCount="145">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</sst>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8">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7">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0"/>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5"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+AVERAGE(J39:J49)</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+AVERAGE(J46:J56)</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thickBot="1" x14ac:dyDescent="0.4">
      <c r="A48" s="14" t="s">
        <v>11</v>
      </c>
      <c r="G48" s="59" t="s">
        <v>138</v>
      </c>
      <c r="H48" s="138">
        <v>0.25</v>
      </c>
      <c r="I48" s="162"/>
      <c r="J48" s="60">
        <f>+AVERAGE(J49:J51)</f>
        <v>0.13333333333333333</v>
      </c>
      <c r="K48" s="63" t="str">
        <f>+$K$7</f>
        <v>Días Transcurridos=</v>
      </c>
      <c r="L48" s="61">
        <f ca="1">+TODAY()-MIN($K$49:$K$51)-139</f>
        <v>84</v>
      </c>
      <c r="M48" s="62"/>
      <c r="N48" s="69"/>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row>
    <row r="49" spans="1:70" ht="25" customHeight="1" thickBot="1" x14ac:dyDescent="0.4">
      <c r="D49" s="134" t="s">
        <v>107</v>
      </c>
      <c r="E49" s="135"/>
      <c r="F49" s="136"/>
      <c r="G49" s="74" t="s">
        <v>92</v>
      </c>
      <c r="H49" s="143"/>
      <c r="I49" s="164" t="s">
        <v>36</v>
      </c>
      <c r="J49" s="75">
        <v>0.35</v>
      </c>
      <c r="K49" s="76">
        <v>45958</v>
      </c>
      <c r="L49" s="76">
        <v>46213</v>
      </c>
      <c r="M49" s="77"/>
      <c r="N49" s="78">
        <f t="shared" si="3"/>
        <v>256</v>
      </c>
      <c r="O49" s="64"/>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row>
    <row r="50" spans="1:70" ht="25" customHeight="1" thickBot="1" x14ac:dyDescent="0.4">
      <c r="D50" s="134" t="str">
        <f>+$D$49</f>
        <v>Mensual</v>
      </c>
      <c r="E50" s="135"/>
      <c r="F50" s="136"/>
      <c r="G50" s="70" t="s">
        <v>93</v>
      </c>
      <c r="H50" s="144"/>
      <c r="I50" s="163" t="s">
        <v>36</v>
      </c>
      <c r="J50" s="71">
        <v>0.05</v>
      </c>
      <c r="K50" s="72">
        <v>46209</v>
      </c>
      <c r="L50" s="76">
        <f>IF(F50="",WORKDAY(L49,5),F50)</f>
        <v>46220</v>
      </c>
      <c r="M50" s="73"/>
      <c r="N50" s="48">
        <f t="shared" si="3"/>
        <v>12</v>
      </c>
      <c r="O50" s="68"/>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row>
    <row r="51" spans="1:70" ht="25" customHeight="1" x14ac:dyDescent="0.35">
      <c r="D51" s="134" t="str">
        <f>+$D$49</f>
        <v>Mensual</v>
      </c>
      <c r="E51" s="135"/>
      <c r="F51" s="136"/>
      <c r="G51" s="74" t="s">
        <v>94</v>
      </c>
      <c r="H51" s="145"/>
      <c r="I51" s="164" t="s">
        <v>95</v>
      </c>
      <c r="J51" s="75">
        <v>0</v>
      </c>
      <c r="K51" s="76">
        <v>46216</v>
      </c>
      <c r="L51" s="76">
        <f>IF(F51="",WORKDAY(L50,5),F51)</f>
        <v>46227</v>
      </c>
      <c r="M51" s="77"/>
      <c r="N51" s="78">
        <f t="shared" si="3"/>
        <v>12</v>
      </c>
      <c r="O51" s="83"/>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row>
    <row r="52" spans="1:70" ht="25" customHeight="1" thickBot="1" x14ac:dyDescent="0.4">
      <c r="A52" s="14" t="s">
        <v>11</v>
      </c>
      <c r="G52" s="59" t="s">
        <v>139</v>
      </c>
      <c r="H52" s="138">
        <v>0.1</v>
      </c>
      <c r="I52" s="162"/>
      <c r="J52" s="60">
        <f>+AVERAGE(J53:J55)</f>
        <v>3.3333333333333333E-2</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44" thickBot="1" x14ac:dyDescent="0.4">
      <c r="D53" s="134" t="s">
        <v>107</v>
      </c>
      <c r="E53" s="135"/>
      <c r="F53" s="136"/>
      <c r="G53" s="74" t="s">
        <v>59</v>
      </c>
      <c r="H53" s="141"/>
      <c r="I53" s="164" t="s">
        <v>96</v>
      </c>
      <c r="J53" s="75">
        <v>0.1</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44" thickBot="1" x14ac:dyDescent="0.4">
      <c r="D54" s="134" t="str">
        <f>+$D$53</f>
        <v>Mensual</v>
      </c>
      <c r="E54" s="135"/>
      <c r="F54" s="136"/>
      <c r="G54" s="70" t="s">
        <v>97</v>
      </c>
      <c r="H54" s="140"/>
      <c r="I54" s="163" t="s">
        <v>96</v>
      </c>
      <c r="J54" s="71">
        <v>0</v>
      </c>
      <c r="K54" s="72">
        <v>46216</v>
      </c>
      <c r="L54" s="76">
        <f>IF(F54="",WORKDAY(L53,5),F54)</f>
        <v>46220</v>
      </c>
      <c r="M54" s="73"/>
      <c r="N54" s="48">
        <f t="shared" si="3"/>
        <v>5</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44" thickBot="1" x14ac:dyDescent="0.4">
      <c r="D55" s="134" t="str">
        <f>+$D$53</f>
        <v>Mensual</v>
      </c>
      <c r="E55" s="135"/>
      <c r="F55" s="136"/>
      <c r="G55" s="74" t="s">
        <v>118</v>
      </c>
      <c r="H55" s="142"/>
      <c r="I55" s="164" t="s">
        <v>96</v>
      </c>
      <c r="J55" s="75">
        <v>0</v>
      </c>
      <c r="K55" s="76">
        <v>46223</v>
      </c>
      <c r="L55" s="76">
        <f>IF(F55="",WORKDAY(L54,5),F55)</f>
        <v>46227</v>
      </c>
      <c r="M55" s="77"/>
      <c r="N55" s="78">
        <f t="shared" si="3"/>
        <v>5</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30" customHeight="1" x14ac:dyDescent="0.35">
      <c r="G56" s="124"/>
      <c r="H56" s="127">
        <f>+SUBTOTAL(9,H7:H55)</f>
        <v>0.99999999999999989</v>
      </c>
      <c r="I56" s="165"/>
      <c r="J56" s="125"/>
      <c r="K56" s="125"/>
      <c r="L56" s="125"/>
      <c r="M56" s="126"/>
      <c r="N56" s="125"/>
    </row>
    <row r="57" spans="1:70" ht="30" customHeight="1" x14ac:dyDescent="0.35">
      <c r="I57" s="166"/>
      <c r="L57" s="15"/>
    </row>
    <row r="58" spans="1:70" ht="30" customHeight="1" x14ac:dyDescent="0.35">
      <c r="I58" s="167"/>
    </row>
    <row r="79" spans="7:7" ht="30" customHeight="1" x14ac:dyDescent="0.35">
      <c r="G79" s="16" t="s">
        <v>73</v>
      </c>
    </row>
    <row r="80" spans="7:7" ht="30" customHeight="1" x14ac:dyDescent="0.35">
      <c r="G80"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47"/>
    <mergeCell ref="H48:H51"/>
    <mergeCell ref="H52:H55"/>
    <mergeCell ref="H9:H21"/>
  </mergeCells>
  <conditionalFormatting sqref="J7:J55">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49:BR51 O53:BR55 O5:BR6 O23:BR26">
    <cfRule type="expression" dxfId="11" priority="13">
      <formula>AND(TODAY()&gt;=M$5,TODAY()&lt;N$5)</formula>
    </cfRule>
  </conditionalFormatting>
  <conditionalFormatting sqref="M8:BR8 O10:BR21 O37:BR47 O49:BR51 O53:BR55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56: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9"/>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4">
        <f>'Proyecto Datos (OKR´s)'!$G$7</f>
      </c>
      <c r="C10" s="204"/>
      <c r="D10" s="204"/>
      <c r="E10" s="204"/>
      <c r="F10" s="204"/>
      <c r="G10" s="178">
        <f>COUNTIF('_Datos'!$D$7:$D$200,$B10)</f>
      </c>
      <c r="H10" s="180">
        <f>IFERROR(AVERAGEIF('_Datos'!$D$7:$D$200,$B10,'_Datos'!$I$7:$I$200),"")</f>
      </c>
      <c r="I10" s="180">
        <f>IFERROR(AVERAGEIF('_Datos'!$D$7:$D$200,$B10,'_Datos'!$I$7:$I$200),"")</f>
      </c>
    </row>
    <row r="11">
      <c r="B11" s="204">
        <f>'Proyecto Datos (OKR´s)'!$G$9</f>
      </c>
      <c r="C11" s="204"/>
      <c r="D11" s="204"/>
      <c r="E11" s="204"/>
      <c r="F11" s="204"/>
      <c r="G11" s="178">
        <f>COUNTIF('_Datos'!$D$7:$D$200,$B11)</f>
      </c>
      <c r="H11" s="180">
        <f>IFERROR(AVERAGEIF('_Datos'!$D$7:$D$200,$B11,'_Datos'!$I$7:$I$200),"")</f>
      </c>
      <c r="I11" s="180">
        <f>IFERROR(AVERAGEIF('_Datos'!$D$7:$D$200,$B11,'_Datos'!$I$7:$I$200),"")</f>
      </c>
    </row>
    <row r="12">
      <c r="B12" s="204">
        <f>'Proyecto Datos (OKR´s)'!$G$22</f>
      </c>
      <c r="C12" s="204"/>
      <c r="D12" s="204"/>
      <c r="E12" s="204"/>
      <c r="F12" s="204"/>
      <c r="G12" s="178">
        <f>COUNTIF('_Datos'!$D$7:$D$200,$B12)</f>
      </c>
      <c r="H12" s="180">
        <f>IFERROR(AVERAGEIF('_Datos'!$D$7:$D$200,$B12,'_Datos'!$I$7:$I$200),"")</f>
      </c>
      <c r="I12" s="180">
        <f>IFERROR(AVERAGEIF('_Datos'!$D$7:$D$200,$B12,'_Datos'!$I$7:$I$200),"")</f>
      </c>
    </row>
    <row r="13">
      <c r="B13" s="204">
        <f>'Proyecto Datos (OKR´s)'!$G$27</f>
      </c>
      <c r="C13" s="204"/>
      <c r="D13" s="204"/>
      <c r="E13" s="204"/>
      <c r="F13" s="204"/>
      <c r="G13" s="178">
        <f>COUNTIF('_Datos'!$D$7:$D$200,$B13)</f>
      </c>
      <c r="H13" s="180">
        <f>IFERROR(AVERAGEIF('_Datos'!$D$7:$D$200,$B13,'_Datos'!$I$7:$I$200),"")</f>
      </c>
      <c r="I13" s="180">
        <f>IFERROR(AVERAGEIF('_Datos'!$D$7:$D$200,$B13,'_Datos'!$I$7:$I$200),"")</f>
      </c>
    </row>
    <row r="14">
      <c r="B14" s="204">
        <f>'Proyecto Datos (OKR´s)'!$G$36</f>
      </c>
      <c r="C14" s="204"/>
      <c r="D14" s="204"/>
      <c r="E14" s="204"/>
      <c r="F14" s="204"/>
      <c r="G14" s="178">
        <f>COUNTIF('_Datos'!$D$7:$D$200,$B14)</f>
      </c>
      <c r="H14" s="180">
        <f>IFERROR(AVERAGEIF('_Datos'!$D$7:$D$200,$B14,'_Datos'!$I$7:$I$200),"")</f>
      </c>
      <c r="I14" s="180">
        <f>IFERROR(AVERAGEIF('_Datos'!$D$7:$D$200,$B14,'_Datos'!$I$7:$I$200),"")</f>
      </c>
    </row>
    <row r="15">
      <c r="B15" s="204">
        <f>'Proyecto Datos (OKR´s)'!$G$48</f>
      </c>
      <c r="C15" s="204"/>
      <c r="D15" s="204"/>
      <c r="E15" s="204"/>
      <c r="F15" s="204"/>
      <c r="G15" s="178">
        <f>COUNTIF('_Datos'!$D$7:$D$200,$B15)</f>
      </c>
      <c r="H15" s="180">
        <f>IFERROR(AVERAGEIF('_Datos'!$D$7:$D$200,$B15,'_Datos'!$I$7:$I$200),"")</f>
      </c>
      <c r="I15" s="180">
        <f>IFERROR(AVERAGEIF('_Datos'!$D$7:$D$200,$B15,'_Datos'!$I$7:$I$200),"")</f>
      </c>
    </row>
    <row r="16">
      <c r="B16" s="204">
        <f>'Proyecto Datos (OKR´s)'!$G$52</f>
      </c>
      <c r="C16" s="204"/>
      <c r="D16" s="204"/>
      <c r="E16" s="204"/>
      <c r="F16" s="204"/>
      <c r="G16" s="178">
        <f>COUNTIF('_Datos'!$D$7:$D$200,$B16)</f>
      </c>
      <c r="H16" s="180">
        <f>IFERROR(AVERAGEIF('_Datos'!$D$7:$D$200,$B16,'_Datos'!$I$7:$I$200),"")</f>
      </c>
      <c r="I16" s="180">
        <f>IFERROR(AVERAGEIF('_Datos'!$D$7:$D$200,$B16,'_Datos'!$I$7:$I$200),"")</f>
      </c>
    </row>
    <row r="19">
      <c r="B19" s="172" t="inlineStr">
        <is>
          <t xml:space="preserve">AVANCE POR SPRINT</t>
        </is>
      </c>
      <c r="C19" s="172"/>
      <c r="D19" s="172"/>
      <c r="E19" s="172"/>
      <c r="F19" s="172"/>
      <c r="G19" s="172"/>
      <c r="H19" s="172"/>
      <c r="I19" s="172"/>
    </row>
    <row r="20">
      <c r="B20" s="173" t="inlineStr">
        <is>
          <t xml:space="preserve">Sprint</t>
        </is>
      </c>
      <c r="C20" s="173" t="inlineStr">
        <is>
          <t xml:space="preserve">Tareas</t>
        </is>
      </c>
      <c r="D20" s="173" t="inlineStr">
        <is>
          <t xml:space="preserve">Pendientes</t>
        </is>
      </c>
      <c r="E20" s="173" t="inlineStr">
        <is>
          <t xml:space="preserve">Vencidas</t>
        </is>
      </c>
      <c r="F20" s="173" t="inlineStr">
        <is>
          <t xml:space="preserve">Próx. a vencer</t>
        </is>
      </c>
      <c r="G20" s="173" t="inlineStr">
        <is>
          <t xml:space="preserve">Próxima entrega</t>
        </is>
      </c>
      <c r="H20" s="173" t="inlineStr">
        <is>
          <t xml:space="preserve">% Avance</t>
        </is>
      </c>
    </row>
    <row r="21">
      <c r="B21" s="203">
        <f>IF($K21="","",IF($K21=9999,"(Sin sprint)",$K21))</f>
      </c>
      <c r="C21" s="203">
        <f>IF($K21="","",COUNTIF('_Datos'!$AD$7:$AD$200,$K21))</f>
      </c>
      <c r="D21" s="203">
        <f>IF($K21="","",COUNTIFS('_Datos'!$AD$7:$AD$200,$K21,'_Datos'!$J$7:$J$200,"&lt;&gt;Completado"))</f>
      </c>
      <c r="E21" s="203">
        <f>IF($K21="","",COUNTIFS('_Datos'!$AD$7:$AD$200,$K21,'_Datos'!$J$7:$J$200,"Vencido"))</f>
      </c>
      <c r="F21" s="203">
        <f>IF($K21="","",COUNTIFS('_Datos'!$AD$7:$AD$200,$K21,'_Datos'!$J$7:$J$200,"Próximo a vencer"))</f>
      </c>
      <c r="G21" s="205">
        <f>IF($K21="","",IF($D21=0,"—",_xlfn.MINIFS('_Datos'!$H$7:$H$200,'_Datos'!$AD$7:$AD$200,$K21,'_Datos'!$J$7:$J$200,"&lt;&gt;Completado")))</f>
      </c>
      <c r="H21" s="206">
        <f>IF($K21="","",IFERROR(AVERAGEIF('_Datos'!$AD$7:$AD$200,$K21,'_Datos'!$I$7:$I$200),""))</f>
      </c>
      <c r="I21" s="203"/>
      <c r="K21" s="201">
        <f>IFERROR(SMALL('_Datos'!$Q$7:$Q$37,ROW()-21+1),"")</f>
      </c>
    </row>
    <row r="22">
      <c r="B22" s="203">
        <f>IF($K22="","",IF($K22=9999,"(Sin sprint)",$K22))</f>
      </c>
      <c r="C22" s="203">
        <f>IF($K22="","",COUNTIF('_Datos'!$AD$7:$AD$200,$K22))</f>
      </c>
      <c r="D22" s="203">
        <f>IF($K22="","",COUNTIFS('_Datos'!$AD$7:$AD$200,$K22,'_Datos'!$J$7:$J$200,"&lt;&gt;Completado"))</f>
      </c>
      <c r="E22" s="203">
        <f>IF($K22="","",COUNTIFS('_Datos'!$AD$7:$AD$200,$K22,'_Datos'!$J$7:$J$200,"Vencido"))</f>
      </c>
      <c r="F22" s="203">
        <f>IF($K22="","",COUNTIFS('_Datos'!$AD$7:$AD$200,$K22,'_Datos'!$J$7:$J$200,"Próximo a vencer"))</f>
      </c>
      <c r="G22" s="205">
        <f>IF($K22="","",IF($D22=0,"—",_xlfn.MINIFS('_Datos'!$H$7:$H$200,'_Datos'!$AD$7:$AD$200,$K22,'_Datos'!$J$7:$J$200,"&lt;&gt;Completado")))</f>
      </c>
      <c r="H22" s="206">
        <f>IF($K22="","",IFERROR(AVERAGEIF('_Datos'!$AD$7:$AD$200,$K22,'_Datos'!$I$7:$I$200),""))</f>
      </c>
      <c r="I22" s="203"/>
      <c r="K22" s="201">
        <f>IFERROR(SMALL('_Datos'!$Q$7:$Q$37,ROW()-21+1),"")</f>
      </c>
    </row>
    <row r="23">
      <c r="B23" s="203">
        <f>IF($K23="","",IF($K23=9999,"(Sin sprint)",$K23))</f>
      </c>
      <c r="C23" s="203">
        <f>IF($K23="","",COUNTIF('_Datos'!$AD$7:$AD$200,$K23))</f>
      </c>
      <c r="D23" s="203">
        <f>IF($K23="","",COUNTIFS('_Datos'!$AD$7:$AD$200,$K23,'_Datos'!$J$7:$J$200,"&lt;&gt;Completado"))</f>
      </c>
      <c r="E23" s="203">
        <f>IF($K23="","",COUNTIFS('_Datos'!$AD$7:$AD$200,$K23,'_Datos'!$J$7:$J$200,"Vencido"))</f>
      </c>
      <c r="F23" s="203">
        <f>IF($K23="","",COUNTIFS('_Datos'!$AD$7:$AD$200,$K23,'_Datos'!$J$7:$J$200,"Próximo a vencer"))</f>
      </c>
      <c r="G23" s="205">
        <f>IF($K23="","",IF($D23=0,"—",_xlfn.MINIFS('_Datos'!$H$7:$H$200,'_Datos'!$AD$7:$AD$200,$K23,'_Datos'!$J$7:$J$200,"&lt;&gt;Completado")))</f>
      </c>
      <c r="H23" s="206">
        <f>IF($K23="","",IFERROR(AVERAGEIF('_Datos'!$AD$7:$AD$200,$K23,'_Datos'!$I$7:$I$200),""))</f>
      </c>
      <c r="I23" s="203"/>
      <c r="K23" s="201">
        <f>IFERROR(SMALL('_Datos'!$Q$7:$Q$37,ROW()-21+1),"")</f>
      </c>
    </row>
    <row r="24">
      <c r="B24" s="203">
        <f>IF($K24="","",IF($K24=9999,"(Sin sprint)",$K24))</f>
      </c>
      <c r="C24" s="203">
        <f>IF($K24="","",COUNTIF('_Datos'!$AD$7:$AD$200,$K24))</f>
      </c>
      <c r="D24" s="203">
        <f>IF($K24="","",COUNTIFS('_Datos'!$AD$7:$AD$200,$K24,'_Datos'!$J$7:$J$200,"&lt;&gt;Completado"))</f>
      </c>
      <c r="E24" s="203">
        <f>IF($K24="","",COUNTIFS('_Datos'!$AD$7:$AD$200,$K24,'_Datos'!$J$7:$J$200,"Vencido"))</f>
      </c>
      <c r="F24" s="203">
        <f>IF($K24="","",COUNTIFS('_Datos'!$AD$7:$AD$200,$K24,'_Datos'!$J$7:$J$200,"Próximo a vencer"))</f>
      </c>
      <c r="G24" s="205">
        <f>IF($K24="","",IF($D24=0,"—",_xlfn.MINIFS('_Datos'!$H$7:$H$200,'_Datos'!$AD$7:$AD$200,$K24,'_Datos'!$J$7:$J$200,"&lt;&gt;Completado")))</f>
      </c>
      <c r="H24" s="206">
        <f>IF($K24="","",IFERROR(AVERAGEIF('_Datos'!$AD$7:$AD$200,$K24,'_Datos'!$I$7:$I$200),""))</f>
      </c>
      <c r="I24" s="203"/>
      <c r="K24" s="201">
        <f>IFERROR(SMALL('_Datos'!$Q$7:$Q$37,ROW()-21+1),"")</f>
      </c>
    </row>
    <row r="25">
      <c r="B25" s="203">
        <f>IF($K25="","",IF($K25=9999,"(Sin sprint)",$K25))</f>
      </c>
      <c r="C25" s="203">
        <f>IF($K25="","",COUNTIF('_Datos'!$AD$7:$AD$200,$K25))</f>
      </c>
      <c r="D25" s="203">
        <f>IF($K25="","",COUNTIFS('_Datos'!$AD$7:$AD$200,$K25,'_Datos'!$J$7:$J$200,"&lt;&gt;Completado"))</f>
      </c>
      <c r="E25" s="203">
        <f>IF($K25="","",COUNTIFS('_Datos'!$AD$7:$AD$200,$K25,'_Datos'!$J$7:$J$200,"Vencido"))</f>
      </c>
      <c r="F25" s="203">
        <f>IF($K25="","",COUNTIFS('_Datos'!$AD$7:$AD$200,$K25,'_Datos'!$J$7:$J$200,"Próximo a vencer"))</f>
      </c>
      <c r="G25" s="205">
        <f>IF($K25="","",IF($D25=0,"—",_xlfn.MINIFS('_Datos'!$H$7:$H$200,'_Datos'!$AD$7:$AD$200,$K25,'_Datos'!$J$7:$J$200,"&lt;&gt;Completado")))</f>
      </c>
      <c r="H25" s="206">
        <f>IF($K25="","",IFERROR(AVERAGEIF('_Datos'!$AD$7:$AD$200,$K25,'_Datos'!$I$7:$I$200),""))</f>
      </c>
      <c r="I25" s="203"/>
      <c r="K25" s="201">
        <f>IFERROR(SMALL('_Datos'!$Q$7:$Q$37,ROW()-21+1),"")</f>
      </c>
    </row>
    <row r="26">
      <c r="B26" s="203">
        <f>IF($K26="","",IF($K26=9999,"(Sin sprint)",$K26))</f>
      </c>
      <c r="C26" s="203">
        <f>IF($K26="","",COUNTIF('_Datos'!$AD$7:$AD$200,$K26))</f>
      </c>
      <c r="D26" s="203">
        <f>IF($K26="","",COUNTIFS('_Datos'!$AD$7:$AD$200,$K26,'_Datos'!$J$7:$J$200,"&lt;&gt;Completado"))</f>
      </c>
      <c r="E26" s="203">
        <f>IF($K26="","",COUNTIFS('_Datos'!$AD$7:$AD$200,$K26,'_Datos'!$J$7:$J$200,"Vencido"))</f>
      </c>
      <c r="F26" s="203">
        <f>IF($K26="","",COUNTIFS('_Datos'!$AD$7:$AD$200,$K26,'_Datos'!$J$7:$J$200,"Próximo a vencer"))</f>
      </c>
      <c r="G26" s="205">
        <f>IF($K26="","",IF($D26=0,"—",_xlfn.MINIFS('_Datos'!$H$7:$H$200,'_Datos'!$AD$7:$AD$200,$K26,'_Datos'!$J$7:$J$200,"&lt;&gt;Completado")))</f>
      </c>
      <c r="H26" s="206">
        <f>IF($K26="","",IFERROR(AVERAGEIF('_Datos'!$AD$7:$AD$200,$K26,'_Datos'!$I$7:$I$200),""))</f>
      </c>
      <c r="I26" s="203"/>
      <c r="K26" s="201">
        <f>IFERROR(SMALL('_Datos'!$Q$7:$Q$37,ROW()-21+1),"")</f>
      </c>
    </row>
    <row r="27">
      <c r="B27" s="203">
        <f>IF($K27="","",IF($K27=9999,"(Sin sprint)",$K27))</f>
      </c>
      <c r="C27" s="203">
        <f>IF($K27="","",COUNTIF('_Datos'!$AD$7:$AD$200,$K27))</f>
      </c>
      <c r="D27" s="203">
        <f>IF($K27="","",COUNTIFS('_Datos'!$AD$7:$AD$200,$K27,'_Datos'!$J$7:$J$200,"&lt;&gt;Completado"))</f>
      </c>
      <c r="E27" s="203">
        <f>IF($K27="","",COUNTIFS('_Datos'!$AD$7:$AD$200,$K27,'_Datos'!$J$7:$J$200,"Vencido"))</f>
      </c>
      <c r="F27" s="203">
        <f>IF($K27="","",COUNTIFS('_Datos'!$AD$7:$AD$200,$K27,'_Datos'!$J$7:$J$200,"Próximo a vencer"))</f>
      </c>
      <c r="G27" s="205">
        <f>IF($K27="","",IF($D27=0,"—",_xlfn.MINIFS('_Datos'!$H$7:$H$200,'_Datos'!$AD$7:$AD$200,$K27,'_Datos'!$J$7:$J$200,"&lt;&gt;Completado")))</f>
      </c>
      <c r="H27" s="206">
        <f>IF($K27="","",IFERROR(AVERAGEIF('_Datos'!$AD$7:$AD$200,$K27,'_Datos'!$I$7:$I$200),""))</f>
      </c>
      <c r="I27" s="203"/>
      <c r="K27" s="201">
        <f>IFERROR(SMALL('_Datos'!$Q$7:$Q$37,ROW()-21+1),"")</f>
      </c>
    </row>
    <row r="28">
      <c r="B28" s="203">
        <f>IF($K28="","",IF($K28=9999,"(Sin sprint)",$K28))</f>
      </c>
      <c r="C28" s="203">
        <f>IF($K28="","",COUNTIF('_Datos'!$AD$7:$AD$200,$K28))</f>
      </c>
      <c r="D28" s="203">
        <f>IF($K28="","",COUNTIFS('_Datos'!$AD$7:$AD$200,$K28,'_Datos'!$J$7:$J$200,"&lt;&gt;Completado"))</f>
      </c>
      <c r="E28" s="203">
        <f>IF($K28="","",COUNTIFS('_Datos'!$AD$7:$AD$200,$K28,'_Datos'!$J$7:$J$200,"Vencido"))</f>
      </c>
      <c r="F28" s="203">
        <f>IF($K28="","",COUNTIFS('_Datos'!$AD$7:$AD$200,$K28,'_Datos'!$J$7:$J$200,"Próximo a vencer"))</f>
      </c>
      <c r="G28" s="205">
        <f>IF($K28="","",IF($D28=0,"—",_xlfn.MINIFS('_Datos'!$H$7:$H$200,'_Datos'!$AD$7:$AD$200,$K28,'_Datos'!$J$7:$J$200,"&lt;&gt;Completado")))</f>
      </c>
      <c r="H28" s="206">
        <f>IF($K28="","",IFERROR(AVERAGEIF('_Datos'!$AD$7:$AD$200,$K28,'_Datos'!$I$7:$I$200),""))</f>
      </c>
      <c r="I28" s="203"/>
      <c r="K28" s="201">
        <f>IFERROR(SMALL('_Datos'!$Q$7:$Q$37,ROW()-21+1),"")</f>
      </c>
    </row>
    <row r="29">
      <c r="B29" s="203">
        <f>IF($K29="","",IF($K29=9999,"(Sin sprint)",$K29))</f>
      </c>
      <c r="C29" s="203">
        <f>IF($K29="","",COUNTIF('_Datos'!$AD$7:$AD$200,$K29))</f>
      </c>
      <c r="D29" s="203">
        <f>IF($K29="","",COUNTIFS('_Datos'!$AD$7:$AD$200,$K29,'_Datos'!$J$7:$J$200,"&lt;&gt;Completado"))</f>
      </c>
      <c r="E29" s="203">
        <f>IF($K29="","",COUNTIFS('_Datos'!$AD$7:$AD$200,$K29,'_Datos'!$J$7:$J$200,"Vencido"))</f>
      </c>
      <c r="F29" s="203">
        <f>IF($K29="","",COUNTIFS('_Datos'!$AD$7:$AD$200,$K29,'_Datos'!$J$7:$J$200,"Próximo a vencer"))</f>
      </c>
      <c r="G29" s="205">
        <f>IF($K29="","",IF($D29=0,"—",_xlfn.MINIFS('_Datos'!$H$7:$H$200,'_Datos'!$AD$7:$AD$200,$K29,'_Datos'!$J$7:$J$200,"&lt;&gt;Completado")))</f>
      </c>
      <c r="H29" s="206">
        <f>IF($K29="","",IFERROR(AVERAGEIF('_Datos'!$AD$7:$AD$200,$K29,'_Datos'!$I$7:$I$200),""))</f>
      </c>
      <c r="I29" s="203"/>
      <c r="K29" s="201">
        <f>IFERROR(SMALL('_Datos'!$Q$7:$Q$37,ROW()-21+1),"")</f>
      </c>
    </row>
    <row r="30">
      <c r="B30" s="203">
        <f>IF($K30="","",IF($K30=9999,"(Sin sprint)",$K30))</f>
      </c>
      <c r="C30" s="203">
        <f>IF($K30="","",COUNTIF('_Datos'!$AD$7:$AD$200,$K30))</f>
      </c>
      <c r="D30" s="203">
        <f>IF($K30="","",COUNTIFS('_Datos'!$AD$7:$AD$200,$K30,'_Datos'!$J$7:$J$200,"&lt;&gt;Completado"))</f>
      </c>
      <c r="E30" s="203">
        <f>IF($K30="","",COUNTIFS('_Datos'!$AD$7:$AD$200,$K30,'_Datos'!$J$7:$J$200,"Vencido"))</f>
      </c>
      <c r="F30" s="203">
        <f>IF($K30="","",COUNTIFS('_Datos'!$AD$7:$AD$200,$K30,'_Datos'!$J$7:$J$200,"Próximo a vencer"))</f>
      </c>
      <c r="G30" s="205">
        <f>IF($K30="","",IF($D30=0,"—",_xlfn.MINIFS('_Datos'!$H$7:$H$200,'_Datos'!$AD$7:$AD$200,$K30,'_Datos'!$J$7:$J$200,"&lt;&gt;Completado")))</f>
      </c>
      <c r="H30" s="206">
        <f>IF($K30="","",IFERROR(AVERAGEIF('_Datos'!$AD$7:$AD$200,$K30,'_Datos'!$I$7:$I$200),""))</f>
      </c>
      <c r="I30" s="203"/>
      <c r="K30" s="201">
        <f>IFERROR(SMALL('_Datos'!$Q$7:$Q$37,ROW()-21+1),"")</f>
      </c>
    </row>
    <row r="31">
      <c r="B31" s="203">
        <f>IF($K31="","",IF($K31=9999,"(Sin sprint)",$K31))</f>
      </c>
      <c r="C31" s="203">
        <f>IF($K31="","",COUNTIF('_Datos'!$AD$7:$AD$200,$K31))</f>
      </c>
      <c r="D31" s="203">
        <f>IF($K31="","",COUNTIFS('_Datos'!$AD$7:$AD$200,$K31,'_Datos'!$J$7:$J$200,"&lt;&gt;Completado"))</f>
      </c>
      <c r="E31" s="203">
        <f>IF($K31="","",COUNTIFS('_Datos'!$AD$7:$AD$200,$K31,'_Datos'!$J$7:$J$200,"Vencido"))</f>
      </c>
      <c r="F31" s="203">
        <f>IF($K31="","",COUNTIFS('_Datos'!$AD$7:$AD$200,$K31,'_Datos'!$J$7:$J$200,"Próximo a vencer"))</f>
      </c>
      <c r="G31" s="205">
        <f>IF($K31="","",IF($D31=0,"—",_xlfn.MINIFS('_Datos'!$H$7:$H$200,'_Datos'!$AD$7:$AD$200,$K31,'_Datos'!$J$7:$J$200,"&lt;&gt;Completado")))</f>
      </c>
      <c r="H31" s="206">
        <f>IF($K31="","",IFERROR(AVERAGEIF('_Datos'!$AD$7:$AD$200,$K31,'_Datos'!$I$7:$I$200),""))</f>
      </c>
      <c r="I31" s="203"/>
      <c r="K31" s="201">
        <f>IFERROR(SMALL('_Datos'!$Q$7:$Q$37,ROW()-21+1),"")</f>
      </c>
    </row>
    <row r="32">
      <c r="B32" s="203">
        <f>IF($K32="","",IF($K32=9999,"(Sin sprint)",$K32))</f>
      </c>
      <c r="C32" s="203">
        <f>IF($K32="","",COUNTIF('_Datos'!$AD$7:$AD$200,$K32))</f>
      </c>
      <c r="D32" s="203">
        <f>IF($K32="","",COUNTIFS('_Datos'!$AD$7:$AD$200,$K32,'_Datos'!$J$7:$J$200,"&lt;&gt;Completado"))</f>
      </c>
      <c r="E32" s="203">
        <f>IF($K32="","",COUNTIFS('_Datos'!$AD$7:$AD$200,$K32,'_Datos'!$J$7:$J$200,"Vencido"))</f>
      </c>
      <c r="F32" s="203">
        <f>IF($K32="","",COUNTIFS('_Datos'!$AD$7:$AD$200,$K32,'_Datos'!$J$7:$J$200,"Próximo a vencer"))</f>
      </c>
      <c r="G32" s="205">
        <f>IF($K32="","",IF($D32=0,"—",_xlfn.MINIFS('_Datos'!$H$7:$H$200,'_Datos'!$AD$7:$AD$200,$K32,'_Datos'!$J$7:$J$200,"&lt;&gt;Completado")))</f>
      </c>
      <c r="H32" s="206">
        <f>IF($K32="","",IFERROR(AVERAGEIF('_Datos'!$AD$7:$AD$200,$K32,'_Datos'!$I$7:$I$200),""))</f>
      </c>
      <c r="I32" s="203"/>
      <c r="K32" s="201">
        <f>IFERROR(SMALL('_Datos'!$Q$7:$Q$37,ROW()-21+1),"")</f>
      </c>
    </row>
    <row r="34">
      <c r="B34" s="172" t="inlineStr">
        <is>
          <t xml:space="preserve">ALERTAS / CUELLOS DE BOTELLA</t>
        </is>
      </c>
      <c r="C34" s="172"/>
      <c r="D34" s="172"/>
      <c r="E34" s="172"/>
      <c r="F34" s="172"/>
      <c r="G34" s="172"/>
      <c r="H34" s="172"/>
      <c r="I34" s="172"/>
    </row>
    <row r="35">
      <c r="B35" s="186" t="inlineStr">
        <is>
          <t xml:space="preserve">Críticas</t>
        </is>
      </c>
      <c r="C35" s="186" t="inlineStr">
        <is>
          <t xml:space="preserve">Bloqueadas</t>
        </is>
      </c>
      <c r="D35" s="186" t="inlineStr">
        <is>
          <t xml:space="preserve">Atrasadas</t>
        </is>
      </c>
      <c r="E35" s="186" t="inlineStr">
        <is>
          <t xml:space="preserve">Sobrecarga</t>
        </is>
      </c>
    </row>
    <row r="36">
      <c r="B36" s="184">
        <f>COUNTIF('_Datos'!$AB$7:$AB$200,"Crítica")</f>
      </c>
      <c r="C36" s="183">
        <f>COUNTIF('_Datos'!$Z$7:$Z$200,TRUE)</f>
      </c>
      <c r="D36" s="183">
        <f>COUNTIF('_Datos'!$W$7:$W$200,"&gt;0")</f>
      </c>
      <c r="E36" s="183">
        <f>COUNTIF('_Datos'!$AC$7:$AC$200,"*SOBRECARGA*")</f>
      </c>
    </row>
    <row r="37">
      <c r="B37" s="176" t="inlineStr">
        <is>
          <t xml:space="preserve">Bloqueada = debía iniciar y sigue en 0%. Atrasada = pasó la fecha objetivo sin completar. Sobrecarga = responsable con &gt;8 tareas pendientes. La lista priorizada completa está en 'Entregas Próximas'.</t>
        </is>
      </c>
    </row>
    <row r="39">
      <c r="B39"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7">
    <mergeCell ref="B1:I1"/>
    <mergeCell ref="B2:I2"/>
    <mergeCell ref="B4:C4"/>
    <mergeCell ref="B5:C5"/>
    <mergeCell ref="B8:I8"/>
    <mergeCell ref="B9:F9"/>
    <mergeCell ref="B10:F10"/>
    <mergeCell ref="B11:F11"/>
    <mergeCell ref="B12:F12"/>
    <mergeCell ref="B13:F13"/>
    <mergeCell ref="B14:F14"/>
    <mergeCell ref="B15:F15"/>
    <mergeCell ref="B16:F16"/>
    <mergeCell ref="B19:I19"/>
    <mergeCell ref="B34:I34"/>
    <mergeCell ref="B37:I37"/>
    <mergeCell ref="B39:I39"/>
  </mergeCells>
  <conditionalFormatting sqref="H10:H16">
    <cfRule type="dataBar" priority="10">
      <dataBar>
        <cfvo type="num" val="0"/>
        <cfvo type="num" val="1"/>
        <color rgb="FF2E75B6"/>
      </dataBar>
    </cfRule>
  </conditionalFormatting>
  <conditionalFormatting sqref="I10:I16">
    <cfRule type="dataBar" priority="11">
      <dataBar showValue="0">
        <cfvo type="num" val="0"/>
        <cfvo type="num" val="1"/>
        <color rgb="FF9DC3E6"/>
      </dataBar>
    </cfRule>
  </conditionalFormatting>
  <conditionalFormatting sqref="H21:H32">
    <cfRule type="dataBar" priority="12">
      <dataBar>
        <cfvo type="num" val="0"/>
        <cfvo type="num" val="1"/>
        <color rgb="FF2E75B6"/>
      </dataBar>
    </cfRule>
  </conditionalFormatting>
  <conditionalFormatting sqref="B10:I16">
    <cfRule type="expression" dxfId="21" priority="13">
      <formula>$B10&lt;&gt;""</formula>
    </cfRule>
  </conditionalFormatting>
  <conditionalFormatting sqref="B21:H32">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3" t="inlineStr">
        <is>
          <t xml:space="preserve">Vencido</t>
        </is>
      </c>
      <c r="D3" s="193"/>
      <c r="E3" s="194" t="inlineStr">
        <is>
          <t xml:space="preserve">Próximo a vencer</t>
        </is>
      </c>
      <c r="F3" s="195" t="inlineStr">
        <is>
          <t xml:space="preserve">En curso</t>
        </is>
      </c>
      <c r="G3" s="195"/>
      <c r="H3" s="196" t="inlineStr">
        <is>
          <t xml:space="preserve">Completado</t>
        </is>
      </c>
      <c r="I3" s="196"/>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3">
        <f>IF($P7="","",INDEX('_Datos'!$AB$7:$AB$200,$P7))</f>
      </c>
      <c r="C7" s="203">
        <f>IF($P7="","",INDEX('_Datos'!$AE$7:$AE$200,$P7))</f>
      </c>
      <c r="D7" s="204">
        <f>IF($P7="","",INDEX('_Datos'!$F$7:$F$200,$P7))</f>
      </c>
      <c r="E7" s="204">
        <f>IF($P7="","",INDEX('_Datos'!$G$7:$G$200,$P7))</f>
      </c>
      <c r="F7" s="205">
        <f>IF($P7="","",INDEX('_Datos'!$H$7:$H$200,$P7))</f>
      </c>
      <c r="G7" s="203">
        <f>IF($P7="","",INDEX('_Datos'!$J$7:$J$200,$P7))</f>
      </c>
      <c r="H7" s="207">
        <f>IF($P7="","",INDEX('_Datos'!$K$7:$K$200,$P7))</f>
      </c>
      <c r="I7" s="207">
        <f>IF($P7="","",INDEX('_Datos'!$S$7:$S$200,$P7))</f>
      </c>
      <c r="J7" s="207">
        <f>IF($P7="","",INDEX('_Datos'!$T$7:$T$200,$P7))</f>
      </c>
      <c r="K7" s="206">
        <f>IF($P7="","",INDEX('_Datos'!$V$7:$V$200,$P7))</f>
      </c>
      <c r="L7" s="207">
        <f>IF($P7="","",INDEX('_Datos'!$W$7:$W$200,$P7))</f>
      </c>
      <c r="M7" s="204">
        <f>IF($P7="","",INDEX('_Datos'!$AC$7:$AC$200,$P7))</f>
      </c>
      <c r="P7" s="201">
        <f>IFERROR(MATCH(LARGE('_Datos'!$AJ$7:$AJ$200,ROW()-7+1),'_Datos'!$AJ$7:$AJ$200,0),"")</f>
      </c>
    </row>
    <row r="8">
      <c r="B8" s="203">
        <f>IF($P8="","",INDEX('_Datos'!$AB$7:$AB$200,$P8))</f>
      </c>
      <c r="C8" s="203">
        <f>IF($P8="","",INDEX('_Datos'!$AE$7:$AE$200,$P8))</f>
      </c>
      <c r="D8" s="204">
        <f>IF($P8="","",INDEX('_Datos'!$F$7:$F$200,$P8))</f>
      </c>
      <c r="E8" s="204">
        <f>IF($P8="","",INDEX('_Datos'!$G$7:$G$200,$P8))</f>
      </c>
      <c r="F8" s="205">
        <f>IF($P8="","",INDEX('_Datos'!$H$7:$H$200,$P8))</f>
      </c>
      <c r="G8" s="203">
        <f>IF($P8="","",INDEX('_Datos'!$J$7:$J$200,$P8))</f>
      </c>
      <c r="H8" s="207">
        <f>IF($P8="","",INDEX('_Datos'!$K$7:$K$200,$P8))</f>
      </c>
      <c r="I8" s="207">
        <f>IF($P8="","",INDEX('_Datos'!$S$7:$S$200,$P8))</f>
      </c>
      <c r="J8" s="207">
        <f>IF($P8="","",INDEX('_Datos'!$T$7:$T$200,$P8))</f>
      </c>
      <c r="K8" s="206">
        <f>IF($P8="","",INDEX('_Datos'!$V$7:$V$200,$P8))</f>
      </c>
      <c r="L8" s="207">
        <f>IF($P8="","",INDEX('_Datos'!$W$7:$W$200,$P8))</f>
      </c>
      <c r="M8" s="204">
        <f>IF($P8="","",INDEX('_Datos'!$AC$7:$AC$200,$P8))</f>
      </c>
      <c r="P8" s="201">
        <f>IFERROR(MATCH(LARGE('_Datos'!$AJ$7:$AJ$200,ROW()-7+1),'_Datos'!$AJ$7:$AJ$200,0),"")</f>
      </c>
    </row>
    <row r="9">
      <c r="B9" s="203">
        <f>IF($P9="","",INDEX('_Datos'!$AB$7:$AB$200,$P9))</f>
      </c>
      <c r="C9" s="203">
        <f>IF($P9="","",INDEX('_Datos'!$AE$7:$AE$200,$P9))</f>
      </c>
      <c r="D9" s="204">
        <f>IF($P9="","",INDEX('_Datos'!$F$7:$F$200,$P9))</f>
      </c>
      <c r="E9" s="204">
        <f>IF($P9="","",INDEX('_Datos'!$G$7:$G$200,$P9))</f>
      </c>
      <c r="F9" s="205">
        <f>IF($P9="","",INDEX('_Datos'!$H$7:$H$200,$P9))</f>
      </c>
      <c r="G9" s="203">
        <f>IF($P9="","",INDEX('_Datos'!$J$7:$J$200,$P9))</f>
      </c>
      <c r="H9" s="207">
        <f>IF($P9="","",INDEX('_Datos'!$K$7:$K$200,$P9))</f>
      </c>
      <c r="I9" s="207">
        <f>IF($P9="","",INDEX('_Datos'!$S$7:$S$200,$P9))</f>
      </c>
      <c r="J9" s="207">
        <f>IF($P9="","",INDEX('_Datos'!$T$7:$T$200,$P9))</f>
      </c>
      <c r="K9" s="206">
        <f>IF($P9="","",INDEX('_Datos'!$V$7:$V$200,$P9))</f>
      </c>
      <c r="L9" s="207">
        <f>IF($P9="","",INDEX('_Datos'!$W$7:$W$200,$P9))</f>
      </c>
      <c r="M9" s="204">
        <f>IF($P9="","",INDEX('_Datos'!$AC$7:$AC$200,$P9))</f>
      </c>
      <c r="P9" s="201">
        <f>IFERROR(MATCH(LARGE('_Datos'!$AJ$7:$AJ$200,ROW()-7+1),'_Datos'!$AJ$7:$AJ$200,0),"")</f>
      </c>
    </row>
    <row r="10">
      <c r="B10" s="203">
        <f>IF($P10="","",INDEX('_Datos'!$AB$7:$AB$200,$P10))</f>
      </c>
      <c r="C10" s="203">
        <f>IF($P10="","",INDEX('_Datos'!$AE$7:$AE$200,$P10))</f>
      </c>
      <c r="D10" s="204">
        <f>IF($P10="","",INDEX('_Datos'!$F$7:$F$200,$P10))</f>
      </c>
      <c r="E10" s="204">
        <f>IF($P10="","",INDEX('_Datos'!$G$7:$G$200,$P10))</f>
      </c>
      <c r="F10" s="205">
        <f>IF($P10="","",INDEX('_Datos'!$H$7:$H$200,$P10))</f>
      </c>
      <c r="G10" s="203">
        <f>IF($P10="","",INDEX('_Datos'!$J$7:$J$200,$P10))</f>
      </c>
      <c r="H10" s="207">
        <f>IF($P10="","",INDEX('_Datos'!$K$7:$K$200,$P10))</f>
      </c>
      <c r="I10" s="207">
        <f>IF($P10="","",INDEX('_Datos'!$S$7:$S$200,$P10))</f>
      </c>
      <c r="J10" s="207">
        <f>IF($P10="","",INDEX('_Datos'!$T$7:$T$200,$P10))</f>
      </c>
      <c r="K10" s="206">
        <f>IF($P10="","",INDEX('_Datos'!$V$7:$V$200,$P10))</f>
      </c>
      <c r="L10" s="207">
        <f>IF($P10="","",INDEX('_Datos'!$W$7:$W$200,$P10))</f>
      </c>
      <c r="M10" s="204">
        <f>IF($P10="","",INDEX('_Datos'!$AC$7:$AC$200,$P10))</f>
      </c>
      <c r="P10" s="201">
        <f>IFERROR(MATCH(LARGE('_Datos'!$AJ$7:$AJ$200,ROW()-7+1),'_Datos'!$AJ$7:$AJ$200,0),"")</f>
      </c>
    </row>
    <row r="11">
      <c r="B11" s="203">
        <f>IF($P11="","",INDEX('_Datos'!$AB$7:$AB$200,$P11))</f>
      </c>
      <c r="C11" s="203">
        <f>IF($P11="","",INDEX('_Datos'!$AE$7:$AE$200,$P11))</f>
      </c>
      <c r="D11" s="204">
        <f>IF($P11="","",INDEX('_Datos'!$F$7:$F$200,$P11))</f>
      </c>
      <c r="E11" s="204">
        <f>IF($P11="","",INDEX('_Datos'!$G$7:$G$200,$P11))</f>
      </c>
      <c r="F11" s="205">
        <f>IF($P11="","",INDEX('_Datos'!$H$7:$H$200,$P11))</f>
      </c>
      <c r="G11" s="203">
        <f>IF($P11="","",INDEX('_Datos'!$J$7:$J$200,$P11))</f>
      </c>
      <c r="H11" s="207">
        <f>IF($P11="","",INDEX('_Datos'!$K$7:$K$200,$P11))</f>
      </c>
      <c r="I11" s="207">
        <f>IF($P11="","",INDEX('_Datos'!$S$7:$S$200,$P11))</f>
      </c>
      <c r="J11" s="207">
        <f>IF($P11="","",INDEX('_Datos'!$T$7:$T$200,$P11))</f>
      </c>
      <c r="K11" s="206">
        <f>IF($P11="","",INDEX('_Datos'!$V$7:$V$200,$P11))</f>
      </c>
      <c r="L11" s="207">
        <f>IF($P11="","",INDEX('_Datos'!$W$7:$W$200,$P11))</f>
      </c>
      <c r="M11" s="204">
        <f>IF($P11="","",INDEX('_Datos'!$AC$7:$AC$200,$P11))</f>
      </c>
      <c r="P11" s="201">
        <f>IFERROR(MATCH(LARGE('_Datos'!$AJ$7:$AJ$200,ROW()-7+1),'_Datos'!$AJ$7:$AJ$200,0),"")</f>
      </c>
    </row>
    <row r="12">
      <c r="B12" s="203">
        <f>IF($P12="","",INDEX('_Datos'!$AB$7:$AB$200,$P12))</f>
      </c>
      <c r="C12" s="203">
        <f>IF($P12="","",INDEX('_Datos'!$AE$7:$AE$200,$P12))</f>
      </c>
      <c r="D12" s="204">
        <f>IF($P12="","",INDEX('_Datos'!$F$7:$F$200,$P12))</f>
      </c>
      <c r="E12" s="204">
        <f>IF($P12="","",INDEX('_Datos'!$G$7:$G$200,$P12))</f>
      </c>
      <c r="F12" s="205">
        <f>IF($P12="","",INDEX('_Datos'!$H$7:$H$200,$P12))</f>
      </c>
      <c r="G12" s="203">
        <f>IF($P12="","",INDEX('_Datos'!$J$7:$J$200,$P12))</f>
      </c>
      <c r="H12" s="207">
        <f>IF($P12="","",INDEX('_Datos'!$K$7:$K$200,$P12))</f>
      </c>
      <c r="I12" s="207">
        <f>IF($P12="","",INDEX('_Datos'!$S$7:$S$200,$P12))</f>
      </c>
      <c r="J12" s="207">
        <f>IF($P12="","",INDEX('_Datos'!$T$7:$T$200,$P12))</f>
      </c>
      <c r="K12" s="206">
        <f>IF($P12="","",INDEX('_Datos'!$V$7:$V$200,$P12))</f>
      </c>
      <c r="L12" s="207">
        <f>IF($P12="","",INDEX('_Datos'!$W$7:$W$200,$P12))</f>
      </c>
      <c r="M12" s="204">
        <f>IF($P12="","",INDEX('_Datos'!$AC$7:$AC$200,$P12))</f>
      </c>
      <c r="P12" s="201">
        <f>IFERROR(MATCH(LARGE('_Datos'!$AJ$7:$AJ$200,ROW()-7+1),'_Datos'!$AJ$7:$AJ$200,0),"")</f>
      </c>
    </row>
    <row r="13">
      <c r="B13" s="203">
        <f>IF($P13="","",INDEX('_Datos'!$AB$7:$AB$200,$P13))</f>
      </c>
      <c r="C13" s="203">
        <f>IF($P13="","",INDEX('_Datos'!$AE$7:$AE$200,$P13))</f>
      </c>
      <c r="D13" s="204">
        <f>IF($P13="","",INDEX('_Datos'!$F$7:$F$200,$P13))</f>
      </c>
      <c r="E13" s="204">
        <f>IF($P13="","",INDEX('_Datos'!$G$7:$G$200,$P13))</f>
      </c>
      <c r="F13" s="205">
        <f>IF($P13="","",INDEX('_Datos'!$H$7:$H$200,$P13))</f>
      </c>
      <c r="G13" s="203">
        <f>IF($P13="","",INDEX('_Datos'!$J$7:$J$200,$P13))</f>
      </c>
      <c r="H13" s="207">
        <f>IF($P13="","",INDEX('_Datos'!$K$7:$K$200,$P13))</f>
      </c>
      <c r="I13" s="207">
        <f>IF($P13="","",INDEX('_Datos'!$S$7:$S$200,$P13))</f>
      </c>
      <c r="J13" s="207">
        <f>IF($P13="","",INDEX('_Datos'!$T$7:$T$200,$P13))</f>
      </c>
      <c r="K13" s="206">
        <f>IF($P13="","",INDEX('_Datos'!$V$7:$V$200,$P13))</f>
      </c>
      <c r="L13" s="207">
        <f>IF($P13="","",INDEX('_Datos'!$W$7:$W$200,$P13))</f>
      </c>
      <c r="M13" s="204">
        <f>IF($P13="","",INDEX('_Datos'!$AC$7:$AC$200,$P13))</f>
      </c>
      <c r="P13" s="201">
        <f>IFERROR(MATCH(LARGE('_Datos'!$AJ$7:$AJ$200,ROW()-7+1),'_Datos'!$AJ$7:$AJ$200,0),"")</f>
      </c>
    </row>
    <row r="14">
      <c r="B14" s="203">
        <f>IF($P14="","",INDEX('_Datos'!$AB$7:$AB$200,$P14))</f>
      </c>
      <c r="C14" s="203">
        <f>IF($P14="","",INDEX('_Datos'!$AE$7:$AE$200,$P14))</f>
      </c>
      <c r="D14" s="204">
        <f>IF($P14="","",INDEX('_Datos'!$F$7:$F$200,$P14))</f>
      </c>
      <c r="E14" s="204">
        <f>IF($P14="","",INDEX('_Datos'!$G$7:$G$200,$P14))</f>
      </c>
      <c r="F14" s="205">
        <f>IF($P14="","",INDEX('_Datos'!$H$7:$H$200,$P14))</f>
      </c>
      <c r="G14" s="203">
        <f>IF($P14="","",INDEX('_Datos'!$J$7:$J$200,$P14))</f>
      </c>
      <c r="H14" s="207">
        <f>IF($P14="","",INDEX('_Datos'!$K$7:$K$200,$P14))</f>
      </c>
      <c r="I14" s="207">
        <f>IF($P14="","",INDEX('_Datos'!$S$7:$S$200,$P14))</f>
      </c>
      <c r="J14" s="207">
        <f>IF($P14="","",INDEX('_Datos'!$T$7:$T$200,$P14))</f>
      </c>
      <c r="K14" s="206">
        <f>IF($P14="","",INDEX('_Datos'!$V$7:$V$200,$P14))</f>
      </c>
      <c r="L14" s="207">
        <f>IF($P14="","",INDEX('_Datos'!$W$7:$W$200,$P14))</f>
      </c>
      <c r="M14" s="204">
        <f>IF($P14="","",INDEX('_Datos'!$AC$7:$AC$200,$P14))</f>
      </c>
      <c r="P14" s="201">
        <f>IFERROR(MATCH(LARGE('_Datos'!$AJ$7:$AJ$200,ROW()-7+1),'_Datos'!$AJ$7:$AJ$200,0),"")</f>
      </c>
    </row>
    <row r="15">
      <c r="B15" s="203">
        <f>IF($P15="","",INDEX('_Datos'!$AB$7:$AB$200,$P15))</f>
      </c>
      <c r="C15" s="203">
        <f>IF($P15="","",INDEX('_Datos'!$AE$7:$AE$200,$P15))</f>
      </c>
      <c r="D15" s="204">
        <f>IF($P15="","",INDEX('_Datos'!$F$7:$F$200,$P15))</f>
      </c>
      <c r="E15" s="204">
        <f>IF($P15="","",INDEX('_Datos'!$G$7:$G$200,$P15))</f>
      </c>
      <c r="F15" s="205">
        <f>IF($P15="","",INDEX('_Datos'!$H$7:$H$200,$P15))</f>
      </c>
      <c r="G15" s="203">
        <f>IF($P15="","",INDEX('_Datos'!$J$7:$J$200,$P15))</f>
      </c>
      <c r="H15" s="207">
        <f>IF($P15="","",INDEX('_Datos'!$K$7:$K$200,$P15))</f>
      </c>
      <c r="I15" s="207">
        <f>IF($P15="","",INDEX('_Datos'!$S$7:$S$200,$P15))</f>
      </c>
      <c r="J15" s="207">
        <f>IF($P15="","",INDEX('_Datos'!$T$7:$T$200,$P15))</f>
      </c>
      <c r="K15" s="206">
        <f>IF($P15="","",INDEX('_Datos'!$V$7:$V$200,$P15))</f>
      </c>
      <c r="L15" s="207">
        <f>IF($P15="","",INDEX('_Datos'!$W$7:$W$200,$P15))</f>
      </c>
      <c r="M15" s="204">
        <f>IF($P15="","",INDEX('_Datos'!$AC$7:$AC$200,$P15))</f>
      </c>
      <c r="P15" s="201">
        <f>IFERROR(MATCH(LARGE('_Datos'!$AJ$7:$AJ$200,ROW()-7+1),'_Datos'!$AJ$7:$AJ$200,0),"")</f>
      </c>
    </row>
    <row r="16">
      <c r="B16" s="203">
        <f>IF($P16="","",INDEX('_Datos'!$AB$7:$AB$200,$P16))</f>
      </c>
      <c r="C16" s="203">
        <f>IF($P16="","",INDEX('_Datos'!$AE$7:$AE$200,$P16))</f>
      </c>
      <c r="D16" s="204">
        <f>IF($P16="","",INDEX('_Datos'!$F$7:$F$200,$P16))</f>
      </c>
      <c r="E16" s="204">
        <f>IF($P16="","",INDEX('_Datos'!$G$7:$G$200,$P16))</f>
      </c>
      <c r="F16" s="205">
        <f>IF($P16="","",INDEX('_Datos'!$H$7:$H$200,$P16))</f>
      </c>
      <c r="G16" s="203">
        <f>IF($P16="","",INDEX('_Datos'!$J$7:$J$200,$P16))</f>
      </c>
      <c r="H16" s="207">
        <f>IF($P16="","",INDEX('_Datos'!$K$7:$K$200,$P16))</f>
      </c>
      <c r="I16" s="207">
        <f>IF($P16="","",INDEX('_Datos'!$S$7:$S$200,$P16))</f>
      </c>
      <c r="J16" s="207">
        <f>IF($P16="","",INDEX('_Datos'!$T$7:$T$200,$P16))</f>
      </c>
      <c r="K16" s="206">
        <f>IF($P16="","",INDEX('_Datos'!$V$7:$V$200,$P16))</f>
      </c>
      <c r="L16" s="207">
        <f>IF($P16="","",INDEX('_Datos'!$W$7:$W$200,$P16))</f>
      </c>
      <c r="M16" s="204">
        <f>IF($P16="","",INDEX('_Datos'!$AC$7:$AC$200,$P16))</f>
      </c>
      <c r="P16" s="201">
        <f>IFERROR(MATCH(LARGE('_Datos'!$AJ$7:$AJ$200,ROW()-7+1),'_Datos'!$AJ$7:$AJ$200,0),"")</f>
      </c>
    </row>
    <row r="17">
      <c r="B17" s="203">
        <f>IF($P17="","",INDEX('_Datos'!$AB$7:$AB$200,$P17))</f>
      </c>
      <c r="C17" s="203">
        <f>IF($P17="","",INDEX('_Datos'!$AE$7:$AE$200,$P17))</f>
      </c>
      <c r="D17" s="204">
        <f>IF($P17="","",INDEX('_Datos'!$F$7:$F$200,$P17))</f>
      </c>
      <c r="E17" s="204">
        <f>IF($P17="","",INDEX('_Datos'!$G$7:$G$200,$P17))</f>
      </c>
      <c r="F17" s="205">
        <f>IF($P17="","",INDEX('_Datos'!$H$7:$H$200,$P17))</f>
      </c>
      <c r="G17" s="203">
        <f>IF($P17="","",INDEX('_Datos'!$J$7:$J$200,$P17))</f>
      </c>
      <c r="H17" s="207">
        <f>IF($P17="","",INDEX('_Datos'!$K$7:$K$200,$P17))</f>
      </c>
      <c r="I17" s="207">
        <f>IF($P17="","",INDEX('_Datos'!$S$7:$S$200,$P17))</f>
      </c>
      <c r="J17" s="207">
        <f>IF($P17="","",INDEX('_Datos'!$T$7:$T$200,$P17))</f>
      </c>
      <c r="K17" s="206">
        <f>IF($P17="","",INDEX('_Datos'!$V$7:$V$200,$P17))</f>
      </c>
      <c r="L17" s="207">
        <f>IF($P17="","",INDEX('_Datos'!$W$7:$W$200,$P17))</f>
      </c>
      <c r="M17" s="204">
        <f>IF($P17="","",INDEX('_Datos'!$AC$7:$AC$200,$P17))</f>
      </c>
      <c r="P17" s="201">
        <f>IFERROR(MATCH(LARGE('_Datos'!$AJ$7:$AJ$200,ROW()-7+1),'_Datos'!$AJ$7:$AJ$200,0),"")</f>
      </c>
    </row>
    <row r="18">
      <c r="B18" s="203">
        <f>IF($P18="","",INDEX('_Datos'!$AB$7:$AB$200,$P18))</f>
      </c>
      <c r="C18" s="203">
        <f>IF($P18="","",INDEX('_Datos'!$AE$7:$AE$200,$P18))</f>
      </c>
      <c r="D18" s="204">
        <f>IF($P18="","",INDEX('_Datos'!$F$7:$F$200,$P18))</f>
      </c>
      <c r="E18" s="204">
        <f>IF($P18="","",INDEX('_Datos'!$G$7:$G$200,$P18))</f>
      </c>
      <c r="F18" s="205">
        <f>IF($P18="","",INDEX('_Datos'!$H$7:$H$200,$P18))</f>
      </c>
      <c r="G18" s="203">
        <f>IF($P18="","",INDEX('_Datos'!$J$7:$J$200,$P18))</f>
      </c>
      <c r="H18" s="207">
        <f>IF($P18="","",INDEX('_Datos'!$K$7:$K$200,$P18))</f>
      </c>
      <c r="I18" s="207">
        <f>IF($P18="","",INDEX('_Datos'!$S$7:$S$200,$P18))</f>
      </c>
      <c r="J18" s="207">
        <f>IF($P18="","",INDEX('_Datos'!$T$7:$T$200,$P18))</f>
      </c>
      <c r="K18" s="206">
        <f>IF($P18="","",INDEX('_Datos'!$V$7:$V$200,$P18))</f>
      </c>
      <c r="L18" s="207">
        <f>IF($P18="","",INDEX('_Datos'!$W$7:$W$200,$P18))</f>
      </c>
      <c r="M18" s="204">
        <f>IF($P18="","",INDEX('_Datos'!$AC$7:$AC$200,$P18))</f>
      </c>
      <c r="P18" s="201">
        <f>IFERROR(MATCH(LARGE('_Datos'!$AJ$7:$AJ$200,ROW()-7+1),'_Datos'!$AJ$7:$AJ$200,0),"")</f>
      </c>
    </row>
    <row r="19">
      <c r="B19" s="203">
        <f>IF($P19="","",INDEX('_Datos'!$AB$7:$AB$200,$P19))</f>
      </c>
      <c r="C19" s="203">
        <f>IF($P19="","",INDEX('_Datos'!$AE$7:$AE$200,$P19))</f>
      </c>
      <c r="D19" s="204">
        <f>IF($P19="","",INDEX('_Datos'!$F$7:$F$200,$P19))</f>
      </c>
      <c r="E19" s="204">
        <f>IF($P19="","",INDEX('_Datos'!$G$7:$G$200,$P19))</f>
      </c>
      <c r="F19" s="205">
        <f>IF($P19="","",INDEX('_Datos'!$H$7:$H$200,$P19))</f>
      </c>
      <c r="G19" s="203">
        <f>IF($P19="","",INDEX('_Datos'!$J$7:$J$200,$P19))</f>
      </c>
      <c r="H19" s="207">
        <f>IF($P19="","",INDEX('_Datos'!$K$7:$K$200,$P19))</f>
      </c>
      <c r="I19" s="207">
        <f>IF($P19="","",INDEX('_Datos'!$S$7:$S$200,$P19))</f>
      </c>
      <c r="J19" s="207">
        <f>IF($P19="","",INDEX('_Datos'!$T$7:$T$200,$P19))</f>
      </c>
      <c r="K19" s="206">
        <f>IF($P19="","",INDEX('_Datos'!$V$7:$V$200,$P19))</f>
      </c>
      <c r="L19" s="207">
        <f>IF($P19="","",INDEX('_Datos'!$W$7:$W$200,$P19))</f>
      </c>
      <c r="M19" s="204">
        <f>IF($P19="","",INDEX('_Datos'!$AC$7:$AC$200,$P19))</f>
      </c>
      <c r="P19" s="201">
        <f>IFERROR(MATCH(LARGE('_Datos'!$AJ$7:$AJ$200,ROW()-7+1),'_Datos'!$AJ$7:$AJ$200,0),"")</f>
      </c>
    </row>
    <row r="20">
      <c r="B20" s="203">
        <f>IF($P20="","",INDEX('_Datos'!$AB$7:$AB$200,$P20))</f>
      </c>
      <c r="C20" s="203">
        <f>IF($P20="","",INDEX('_Datos'!$AE$7:$AE$200,$P20))</f>
      </c>
      <c r="D20" s="204">
        <f>IF($P20="","",INDEX('_Datos'!$F$7:$F$200,$P20))</f>
      </c>
      <c r="E20" s="204">
        <f>IF($P20="","",INDEX('_Datos'!$G$7:$G$200,$P20))</f>
      </c>
      <c r="F20" s="205">
        <f>IF($P20="","",INDEX('_Datos'!$H$7:$H$200,$P20))</f>
      </c>
      <c r="G20" s="203">
        <f>IF($P20="","",INDEX('_Datos'!$J$7:$J$200,$P20))</f>
      </c>
      <c r="H20" s="207">
        <f>IF($P20="","",INDEX('_Datos'!$K$7:$K$200,$P20))</f>
      </c>
      <c r="I20" s="207">
        <f>IF($P20="","",INDEX('_Datos'!$S$7:$S$200,$P20))</f>
      </c>
      <c r="J20" s="207">
        <f>IF($P20="","",INDEX('_Datos'!$T$7:$T$200,$P20))</f>
      </c>
      <c r="K20" s="206">
        <f>IF($P20="","",INDEX('_Datos'!$V$7:$V$200,$P20))</f>
      </c>
      <c r="L20" s="207">
        <f>IF($P20="","",INDEX('_Datos'!$W$7:$W$200,$P20))</f>
      </c>
      <c r="M20" s="204">
        <f>IF($P20="","",INDEX('_Datos'!$AC$7:$AC$200,$P20))</f>
      </c>
      <c r="P20" s="201">
        <f>IFERROR(MATCH(LARGE('_Datos'!$AJ$7:$AJ$200,ROW()-7+1),'_Datos'!$AJ$7:$AJ$200,0),"")</f>
      </c>
    </row>
    <row r="21">
      <c r="B21" s="203">
        <f>IF($P21="","",INDEX('_Datos'!$AB$7:$AB$200,$P21))</f>
      </c>
      <c r="C21" s="203">
        <f>IF($P21="","",INDEX('_Datos'!$AE$7:$AE$200,$P21))</f>
      </c>
      <c r="D21" s="204">
        <f>IF($P21="","",INDEX('_Datos'!$F$7:$F$200,$P21))</f>
      </c>
      <c r="E21" s="204">
        <f>IF($P21="","",INDEX('_Datos'!$G$7:$G$200,$P21))</f>
      </c>
      <c r="F21" s="205">
        <f>IF($P21="","",INDEX('_Datos'!$H$7:$H$200,$P21))</f>
      </c>
      <c r="G21" s="203">
        <f>IF($P21="","",INDEX('_Datos'!$J$7:$J$200,$P21))</f>
      </c>
      <c r="H21" s="207">
        <f>IF($P21="","",INDEX('_Datos'!$K$7:$K$200,$P21))</f>
      </c>
      <c r="I21" s="207">
        <f>IF($P21="","",INDEX('_Datos'!$S$7:$S$200,$P21))</f>
      </c>
      <c r="J21" s="207">
        <f>IF($P21="","",INDEX('_Datos'!$T$7:$T$200,$P21))</f>
      </c>
      <c r="K21" s="206">
        <f>IF($P21="","",INDEX('_Datos'!$V$7:$V$200,$P21))</f>
      </c>
      <c r="L21" s="207">
        <f>IF($P21="","",INDEX('_Datos'!$W$7:$W$200,$P21))</f>
      </c>
      <c r="M21" s="204">
        <f>IF($P21="","",INDEX('_Datos'!$AC$7:$AC$200,$P21))</f>
      </c>
      <c r="P21" s="201">
        <f>IFERROR(MATCH(LARGE('_Datos'!$AJ$7:$AJ$200,ROW()-7+1),'_Datos'!$AJ$7:$AJ$200,0),"")</f>
      </c>
    </row>
    <row r="22">
      <c r="B22" s="203">
        <f>IF($P22="","",INDEX('_Datos'!$AB$7:$AB$200,$P22))</f>
      </c>
      <c r="C22" s="203">
        <f>IF($P22="","",INDEX('_Datos'!$AE$7:$AE$200,$P22))</f>
      </c>
      <c r="D22" s="204">
        <f>IF($P22="","",INDEX('_Datos'!$F$7:$F$200,$P22))</f>
      </c>
      <c r="E22" s="204">
        <f>IF($P22="","",INDEX('_Datos'!$G$7:$G$200,$P22))</f>
      </c>
      <c r="F22" s="205">
        <f>IF($P22="","",INDEX('_Datos'!$H$7:$H$200,$P22))</f>
      </c>
      <c r="G22" s="203">
        <f>IF($P22="","",INDEX('_Datos'!$J$7:$J$200,$P22))</f>
      </c>
      <c r="H22" s="207">
        <f>IF($P22="","",INDEX('_Datos'!$K$7:$K$200,$P22))</f>
      </c>
      <c r="I22" s="207">
        <f>IF($P22="","",INDEX('_Datos'!$S$7:$S$200,$P22))</f>
      </c>
      <c r="J22" s="207">
        <f>IF($P22="","",INDEX('_Datos'!$T$7:$T$200,$P22))</f>
      </c>
      <c r="K22" s="206">
        <f>IF($P22="","",INDEX('_Datos'!$V$7:$V$200,$P22))</f>
      </c>
      <c r="L22" s="207">
        <f>IF($P22="","",INDEX('_Datos'!$W$7:$W$200,$P22))</f>
      </c>
      <c r="M22" s="204">
        <f>IF($P22="","",INDEX('_Datos'!$AC$7:$AC$200,$P22))</f>
      </c>
      <c r="P22" s="201">
        <f>IFERROR(MATCH(LARGE('_Datos'!$AJ$7:$AJ$200,ROW()-7+1),'_Datos'!$AJ$7:$AJ$200,0),"")</f>
      </c>
    </row>
    <row r="23">
      <c r="B23" s="203">
        <f>IF($P23="","",INDEX('_Datos'!$AB$7:$AB$200,$P23))</f>
      </c>
      <c r="C23" s="203">
        <f>IF($P23="","",INDEX('_Datos'!$AE$7:$AE$200,$P23))</f>
      </c>
      <c r="D23" s="204">
        <f>IF($P23="","",INDEX('_Datos'!$F$7:$F$200,$P23))</f>
      </c>
      <c r="E23" s="204">
        <f>IF($P23="","",INDEX('_Datos'!$G$7:$G$200,$P23))</f>
      </c>
      <c r="F23" s="205">
        <f>IF($P23="","",INDEX('_Datos'!$H$7:$H$200,$P23))</f>
      </c>
      <c r="G23" s="203">
        <f>IF($P23="","",INDEX('_Datos'!$J$7:$J$200,$P23))</f>
      </c>
      <c r="H23" s="207">
        <f>IF($P23="","",INDEX('_Datos'!$K$7:$K$200,$P23))</f>
      </c>
      <c r="I23" s="207">
        <f>IF($P23="","",INDEX('_Datos'!$S$7:$S$200,$P23))</f>
      </c>
      <c r="J23" s="207">
        <f>IF($P23="","",INDEX('_Datos'!$T$7:$T$200,$P23))</f>
      </c>
      <c r="K23" s="206">
        <f>IF($P23="","",INDEX('_Datos'!$V$7:$V$200,$P23))</f>
      </c>
      <c r="L23" s="207">
        <f>IF($P23="","",INDEX('_Datos'!$W$7:$W$200,$P23))</f>
      </c>
      <c r="M23" s="204">
        <f>IF($P23="","",INDEX('_Datos'!$AC$7:$AC$200,$P23))</f>
      </c>
      <c r="P23" s="201">
        <f>IFERROR(MATCH(LARGE('_Datos'!$AJ$7:$AJ$200,ROW()-7+1),'_Datos'!$AJ$7:$AJ$200,0),"")</f>
      </c>
    </row>
    <row r="24">
      <c r="B24" s="203">
        <f>IF($P24="","",INDEX('_Datos'!$AB$7:$AB$200,$P24))</f>
      </c>
      <c r="C24" s="203">
        <f>IF($P24="","",INDEX('_Datos'!$AE$7:$AE$200,$P24))</f>
      </c>
      <c r="D24" s="204">
        <f>IF($P24="","",INDEX('_Datos'!$F$7:$F$200,$P24))</f>
      </c>
      <c r="E24" s="204">
        <f>IF($P24="","",INDEX('_Datos'!$G$7:$G$200,$P24))</f>
      </c>
      <c r="F24" s="205">
        <f>IF($P24="","",INDEX('_Datos'!$H$7:$H$200,$P24))</f>
      </c>
      <c r="G24" s="203">
        <f>IF($P24="","",INDEX('_Datos'!$J$7:$J$200,$P24))</f>
      </c>
      <c r="H24" s="207">
        <f>IF($P24="","",INDEX('_Datos'!$K$7:$K$200,$P24))</f>
      </c>
      <c r="I24" s="207">
        <f>IF($P24="","",INDEX('_Datos'!$S$7:$S$200,$P24))</f>
      </c>
      <c r="J24" s="207">
        <f>IF($P24="","",INDEX('_Datos'!$T$7:$T$200,$P24))</f>
      </c>
      <c r="K24" s="206">
        <f>IF($P24="","",INDEX('_Datos'!$V$7:$V$200,$P24))</f>
      </c>
      <c r="L24" s="207">
        <f>IF($P24="","",INDEX('_Datos'!$W$7:$W$200,$P24))</f>
      </c>
      <c r="M24" s="204">
        <f>IF($P24="","",INDEX('_Datos'!$AC$7:$AC$200,$P24))</f>
      </c>
      <c r="P24" s="201">
        <f>IFERROR(MATCH(LARGE('_Datos'!$AJ$7:$AJ$200,ROW()-7+1),'_Datos'!$AJ$7:$AJ$200,0),"")</f>
      </c>
    </row>
    <row r="25">
      <c r="B25" s="203">
        <f>IF($P25="","",INDEX('_Datos'!$AB$7:$AB$200,$P25))</f>
      </c>
      <c r="C25" s="203">
        <f>IF($P25="","",INDEX('_Datos'!$AE$7:$AE$200,$P25))</f>
      </c>
      <c r="D25" s="204">
        <f>IF($P25="","",INDEX('_Datos'!$F$7:$F$200,$P25))</f>
      </c>
      <c r="E25" s="204">
        <f>IF($P25="","",INDEX('_Datos'!$G$7:$G$200,$P25))</f>
      </c>
      <c r="F25" s="205">
        <f>IF($P25="","",INDEX('_Datos'!$H$7:$H$200,$P25))</f>
      </c>
      <c r="G25" s="203">
        <f>IF($P25="","",INDEX('_Datos'!$J$7:$J$200,$P25))</f>
      </c>
      <c r="H25" s="207">
        <f>IF($P25="","",INDEX('_Datos'!$K$7:$K$200,$P25))</f>
      </c>
      <c r="I25" s="207">
        <f>IF($P25="","",INDEX('_Datos'!$S$7:$S$200,$P25))</f>
      </c>
      <c r="J25" s="207">
        <f>IF($P25="","",INDEX('_Datos'!$T$7:$T$200,$P25))</f>
      </c>
      <c r="K25" s="206">
        <f>IF($P25="","",INDEX('_Datos'!$V$7:$V$200,$P25))</f>
      </c>
      <c r="L25" s="207">
        <f>IF($P25="","",INDEX('_Datos'!$W$7:$W$200,$P25))</f>
      </c>
      <c r="M25" s="204">
        <f>IF($P25="","",INDEX('_Datos'!$AC$7:$AC$200,$P25))</f>
      </c>
      <c r="P25" s="201">
        <f>IFERROR(MATCH(LARGE('_Datos'!$AJ$7:$AJ$200,ROW()-7+1),'_Datos'!$AJ$7:$AJ$200,0),"")</f>
      </c>
    </row>
    <row r="26">
      <c r="B26" s="203">
        <f>IF($P26="","",INDEX('_Datos'!$AB$7:$AB$200,$P26))</f>
      </c>
      <c r="C26" s="203">
        <f>IF($P26="","",INDEX('_Datos'!$AE$7:$AE$200,$P26))</f>
      </c>
      <c r="D26" s="204">
        <f>IF($P26="","",INDEX('_Datos'!$F$7:$F$200,$P26))</f>
      </c>
      <c r="E26" s="204">
        <f>IF($P26="","",INDEX('_Datos'!$G$7:$G$200,$P26))</f>
      </c>
      <c r="F26" s="205">
        <f>IF($P26="","",INDEX('_Datos'!$H$7:$H$200,$P26))</f>
      </c>
      <c r="G26" s="203">
        <f>IF($P26="","",INDEX('_Datos'!$J$7:$J$200,$P26))</f>
      </c>
      <c r="H26" s="207">
        <f>IF($P26="","",INDEX('_Datos'!$K$7:$K$200,$P26))</f>
      </c>
      <c r="I26" s="207">
        <f>IF($P26="","",INDEX('_Datos'!$S$7:$S$200,$P26))</f>
      </c>
      <c r="J26" s="207">
        <f>IF($P26="","",INDEX('_Datos'!$T$7:$T$200,$P26))</f>
      </c>
      <c r="K26" s="206">
        <f>IF($P26="","",INDEX('_Datos'!$V$7:$V$200,$P26))</f>
      </c>
      <c r="L26" s="207">
        <f>IF($P26="","",INDEX('_Datos'!$W$7:$W$200,$P26))</f>
      </c>
      <c r="M26" s="204">
        <f>IF($P26="","",INDEX('_Datos'!$AC$7:$AC$200,$P26))</f>
      </c>
      <c r="P26" s="201">
        <f>IFERROR(MATCH(LARGE('_Datos'!$AJ$7:$AJ$200,ROW()-7+1),'_Datos'!$AJ$7:$AJ$200,0),"")</f>
      </c>
    </row>
    <row r="27">
      <c r="B27" s="203">
        <f>IF($P27="","",INDEX('_Datos'!$AB$7:$AB$200,$P27))</f>
      </c>
      <c r="C27" s="203">
        <f>IF($P27="","",INDEX('_Datos'!$AE$7:$AE$200,$P27))</f>
      </c>
      <c r="D27" s="204">
        <f>IF($P27="","",INDEX('_Datos'!$F$7:$F$200,$P27))</f>
      </c>
      <c r="E27" s="204">
        <f>IF($P27="","",INDEX('_Datos'!$G$7:$G$200,$P27))</f>
      </c>
      <c r="F27" s="205">
        <f>IF($P27="","",INDEX('_Datos'!$H$7:$H$200,$P27))</f>
      </c>
      <c r="G27" s="203">
        <f>IF($P27="","",INDEX('_Datos'!$J$7:$J$200,$P27))</f>
      </c>
      <c r="H27" s="207">
        <f>IF($P27="","",INDEX('_Datos'!$K$7:$K$200,$P27))</f>
      </c>
      <c r="I27" s="207">
        <f>IF($P27="","",INDEX('_Datos'!$S$7:$S$200,$P27))</f>
      </c>
      <c r="J27" s="207">
        <f>IF($P27="","",INDEX('_Datos'!$T$7:$T$200,$P27))</f>
      </c>
      <c r="K27" s="206">
        <f>IF($P27="","",INDEX('_Datos'!$V$7:$V$200,$P27))</f>
      </c>
      <c r="L27" s="207">
        <f>IF($P27="","",INDEX('_Datos'!$W$7:$W$200,$P27))</f>
      </c>
      <c r="M27" s="204">
        <f>IF($P27="","",INDEX('_Datos'!$AC$7:$AC$200,$P27))</f>
      </c>
      <c r="P27" s="201">
        <f>IFERROR(MATCH(LARGE('_Datos'!$AJ$7:$AJ$200,ROW()-7+1),'_Datos'!$AJ$7:$AJ$200,0),"")</f>
      </c>
    </row>
    <row r="28">
      <c r="B28" s="203">
        <f>IF($P28="","",INDEX('_Datos'!$AB$7:$AB$200,$P28))</f>
      </c>
      <c r="C28" s="203">
        <f>IF($P28="","",INDEX('_Datos'!$AE$7:$AE$200,$P28))</f>
      </c>
      <c r="D28" s="204">
        <f>IF($P28="","",INDEX('_Datos'!$F$7:$F$200,$P28))</f>
      </c>
      <c r="E28" s="204">
        <f>IF($P28="","",INDEX('_Datos'!$G$7:$G$200,$P28))</f>
      </c>
      <c r="F28" s="205">
        <f>IF($P28="","",INDEX('_Datos'!$H$7:$H$200,$P28))</f>
      </c>
      <c r="G28" s="203">
        <f>IF($P28="","",INDEX('_Datos'!$J$7:$J$200,$P28))</f>
      </c>
      <c r="H28" s="207">
        <f>IF($P28="","",INDEX('_Datos'!$K$7:$K$200,$P28))</f>
      </c>
      <c r="I28" s="207">
        <f>IF($P28="","",INDEX('_Datos'!$S$7:$S$200,$P28))</f>
      </c>
      <c r="J28" s="207">
        <f>IF($P28="","",INDEX('_Datos'!$T$7:$T$200,$P28))</f>
      </c>
      <c r="K28" s="206">
        <f>IF($P28="","",INDEX('_Datos'!$V$7:$V$200,$P28))</f>
      </c>
      <c r="L28" s="207">
        <f>IF($P28="","",INDEX('_Datos'!$W$7:$W$200,$P28))</f>
      </c>
      <c r="M28" s="204">
        <f>IF($P28="","",INDEX('_Datos'!$AC$7:$AC$200,$P28))</f>
      </c>
      <c r="P28" s="201">
        <f>IFERROR(MATCH(LARGE('_Datos'!$AJ$7:$AJ$200,ROW()-7+1),'_Datos'!$AJ$7:$AJ$200,0),"")</f>
      </c>
    </row>
    <row r="29">
      <c r="B29" s="203">
        <f>IF($P29="","",INDEX('_Datos'!$AB$7:$AB$200,$P29))</f>
      </c>
      <c r="C29" s="203">
        <f>IF($P29="","",INDEX('_Datos'!$AE$7:$AE$200,$P29))</f>
      </c>
      <c r="D29" s="204">
        <f>IF($P29="","",INDEX('_Datos'!$F$7:$F$200,$P29))</f>
      </c>
      <c r="E29" s="204">
        <f>IF($P29="","",INDEX('_Datos'!$G$7:$G$200,$P29))</f>
      </c>
      <c r="F29" s="205">
        <f>IF($P29="","",INDEX('_Datos'!$H$7:$H$200,$P29))</f>
      </c>
      <c r="G29" s="203">
        <f>IF($P29="","",INDEX('_Datos'!$J$7:$J$200,$P29))</f>
      </c>
      <c r="H29" s="207">
        <f>IF($P29="","",INDEX('_Datos'!$K$7:$K$200,$P29))</f>
      </c>
      <c r="I29" s="207">
        <f>IF($P29="","",INDEX('_Datos'!$S$7:$S$200,$P29))</f>
      </c>
      <c r="J29" s="207">
        <f>IF($P29="","",INDEX('_Datos'!$T$7:$T$200,$P29))</f>
      </c>
      <c r="K29" s="206">
        <f>IF($P29="","",INDEX('_Datos'!$V$7:$V$200,$P29))</f>
      </c>
      <c r="L29" s="207">
        <f>IF($P29="","",INDEX('_Datos'!$W$7:$W$200,$P29))</f>
      </c>
      <c r="M29" s="204">
        <f>IF($P29="","",INDEX('_Datos'!$AC$7:$AC$200,$P29))</f>
      </c>
      <c r="P29" s="201">
        <f>IFERROR(MATCH(LARGE('_Datos'!$AJ$7:$AJ$200,ROW()-7+1),'_Datos'!$AJ$7:$AJ$200,0),"")</f>
      </c>
    </row>
    <row r="30">
      <c r="B30" s="203">
        <f>IF($P30="","",INDEX('_Datos'!$AB$7:$AB$200,$P30))</f>
      </c>
      <c r="C30" s="203">
        <f>IF($P30="","",INDEX('_Datos'!$AE$7:$AE$200,$P30))</f>
      </c>
      <c r="D30" s="204">
        <f>IF($P30="","",INDEX('_Datos'!$F$7:$F$200,$P30))</f>
      </c>
      <c r="E30" s="204">
        <f>IF($P30="","",INDEX('_Datos'!$G$7:$G$200,$P30))</f>
      </c>
      <c r="F30" s="205">
        <f>IF($P30="","",INDEX('_Datos'!$H$7:$H$200,$P30))</f>
      </c>
      <c r="G30" s="203">
        <f>IF($P30="","",INDEX('_Datos'!$J$7:$J$200,$P30))</f>
      </c>
      <c r="H30" s="207">
        <f>IF($P30="","",INDEX('_Datos'!$K$7:$K$200,$P30))</f>
      </c>
      <c r="I30" s="207">
        <f>IF($P30="","",INDEX('_Datos'!$S$7:$S$200,$P30))</f>
      </c>
      <c r="J30" s="207">
        <f>IF($P30="","",INDEX('_Datos'!$T$7:$T$200,$P30))</f>
      </c>
      <c r="K30" s="206">
        <f>IF($P30="","",INDEX('_Datos'!$V$7:$V$200,$P30))</f>
      </c>
      <c r="L30" s="207">
        <f>IF($P30="","",INDEX('_Datos'!$W$7:$W$200,$P30))</f>
      </c>
      <c r="M30" s="204">
        <f>IF($P30="","",INDEX('_Datos'!$AC$7:$AC$200,$P30))</f>
      </c>
      <c r="P30" s="201">
        <f>IFERROR(MATCH(LARGE('_Datos'!$AJ$7:$AJ$200,ROW()-7+1),'_Datos'!$AJ$7:$AJ$200,0),"")</f>
      </c>
    </row>
    <row r="31">
      <c r="B31" s="203">
        <f>IF($P31="","",INDEX('_Datos'!$AB$7:$AB$200,$P31))</f>
      </c>
      <c r="C31" s="203">
        <f>IF($P31="","",INDEX('_Datos'!$AE$7:$AE$200,$P31))</f>
      </c>
      <c r="D31" s="204">
        <f>IF($P31="","",INDEX('_Datos'!$F$7:$F$200,$P31))</f>
      </c>
      <c r="E31" s="204">
        <f>IF($P31="","",INDEX('_Datos'!$G$7:$G$200,$P31))</f>
      </c>
      <c r="F31" s="205">
        <f>IF($P31="","",INDEX('_Datos'!$H$7:$H$200,$P31))</f>
      </c>
      <c r="G31" s="203">
        <f>IF($P31="","",INDEX('_Datos'!$J$7:$J$200,$P31))</f>
      </c>
      <c r="H31" s="207">
        <f>IF($P31="","",INDEX('_Datos'!$K$7:$K$200,$P31))</f>
      </c>
      <c r="I31" s="207">
        <f>IF($P31="","",INDEX('_Datos'!$S$7:$S$200,$P31))</f>
      </c>
      <c r="J31" s="207">
        <f>IF($P31="","",INDEX('_Datos'!$T$7:$T$200,$P31))</f>
      </c>
      <c r="K31" s="206">
        <f>IF($P31="","",INDEX('_Datos'!$V$7:$V$200,$P31))</f>
      </c>
      <c r="L31" s="207">
        <f>IF($P31="","",INDEX('_Datos'!$W$7:$W$200,$P31))</f>
      </c>
      <c r="M31" s="204">
        <f>IF($P31="","",INDEX('_Datos'!$AC$7:$AC$200,$P31))</f>
      </c>
      <c r="P31" s="201">
        <f>IFERROR(MATCH(LARGE('_Datos'!$AJ$7:$AJ$200,ROW()-7+1),'_Datos'!$AJ$7:$AJ$200,0),"")</f>
      </c>
    </row>
    <row r="32">
      <c r="B32" s="203">
        <f>IF($P32="","",INDEX('_Datos'!$AB$7:$AB$200,$P32))</f>
      </c>
      <c r="C32" s="203">
        <f>IF($P32="","",INDEX('_Datos'!$AE$7:$AE$200,$P32))</f>
      </c>
      <c r="D32" s="204">
        <f>IF($P32="","",INDEX('_Datos'!$F$7:$F$200,$P32))</f>
      </c>
      <c r="E32" s="204">
        <f>IF($P32="","",INDEX('_Datos'!$G$7:$G$200,$P32))</f>
      </c>
      <c r="F32" s="205">
        <f>IF($P32="","",INDEX('_Datos'!$H$7:$H$200,$P32))</f>
      </c>
      <c r="G32" s="203">
        <f>IF($P32="","",INDEX('_Datos'!$J$7:$J$200,$P32))</f>
      </c>
      <c r="H32" s="207">
        <f>IF($P32="","",INDEX('_Datos'!$K$7:$K$200,$P32))</f>
      </c>
      <c r="I32" s="207">
        <f>IF($P32="","",INDEX('_Datos'!$S$7:$S$200,$P32))</f>
      </c>
      <c r="J32" s="207">
        <f>IF($P32="","",INDEX('_Datos'!$T$7:$T$200,$P32))</f>
      </c>
      <c r="K32" s="206">
        <f>IF($P32="","",INDEX('_Datos'!$V$7:$V$200,$P32))</f>
      </c>
      <c r="L32" s="207">
        <f>IF($P32="","",INDEX('_Datos'!$W$7:$W$200,$P32))</f>
      </c>
      <c r="M32" s="204">
        <f>IF($P32="","",INDEX('_Datos'!$AC$7:$AC$200,$P32))</f>
      </c>
      <c r="P32" s="201">
        <f>IFERROR(MATCH(LARGE('_Datos'!$AJ$7:$AJ$200,ROW()-7+1),'_Datos'!$AJ$7:$AJ$200,0),"")</f>
      </c>
    </row>
    <row r="33">
      <c r="B33" s="203">
        <f>IF($P33="","",INDEX('_Datos'!$AB$7:$AB$200,$P33))</f>
      </c>
      <c r="C33" s="203">
        <f>IF($P33="","",INDEX('_Datos'!$AE$7:$AE$200,$P33))</f>
      </c>
      <c r="D33" s="204">
        <f>IF($P33="","",INDEX('_Datos'!$F$7:$F$200,$P33))</f>
      </c>
      <c r="E33" s="204">
        <f>IF($P33="","",INDEX('_Datos'!$G$7:$G$200,$P33))</f>
      </c>
      <c r="F33" s="205">
        <f>IF($P33="","",INDEX('_Datos'!$H$7:$H$200,$P33))</f>
      </c>
      <c r="G33" s="203">
        <f>IF($P33="","",INDEX('_Datos'!$J$7:$J$200,$P33))</f>
      </c>
      <c r="H33" s="207">
        <f>IF($P33="","",INDEX('_Datos'!$K$7:$K$200,$P33))</f>
      </c>
      <c r="I33" s="207">
        <f>IF($P33="","",INDEX('_Datos'!$S$7:$S$200,$P33))</f>
      </c>
      <c r="J33" s="207">
        <f>IF($P33="","",INDEX('_Datos'!$T$7:$T$200,$P33))</f>
      </c>
      <c r="K33" s="206">
        <f>IF($P33="","",INDEX('_Datos'!$V$7:$V$200,$P33))</f>
      </c>
      <c r="L33" s="207">
        <f>IF($P33="","",INDEX('_Datos'!$W$7:$W$200,$P33))</f>
      </c>
      <c r="M33" s="204">
        <f>IF($P33="","",INDEX('_Datos'!$AC$7:$AC$200,$P33))</f>
      </c>
      <c r="P33" s="201">
        <f>IFERROR(MATCH(LARGE('_Datos'!$AJ$7:$AJ$200,ROW()-7+1),'_Datos'!$AJ$7:$AJ$200,0),"")</f>
      </c>
    </row>
    <row r="34">
      <c r="B34" s="203">
        <f>IF($P34="","",INDEX('_Datos'!$AB$7:$AB$200,$P34))</f>
      </c>
      <c r="C34" s="203">
        <f>IF($P34="","",INDEX('_Datos'!$AE$7:$AE$200,$P34))</f>
      </c>
      <c r="D34" s="204">
        <f>IF($P34="","",INDEX('_Datos'!$F$7:$F$200,$P34))</f>
      </c>
      <c r="E34" s="204">
        <f>IF($P34="","",INDEX('_Datos'!$G$7:$G$200,$P34))</f>
      </c>
      <c r="F34" s="205">
        <f>IF($P34="","",INDEX('_Datos'!$H$7:$H$200,$P34))</f>
      </c>
      <c r="G34" s="203">
        <f>IF($P34="","",INDEX('_Datos'!$J$7:$J$200,$P34))</f>
      </c>
      <c r="H34" s="207">
        <f>IF($P34="","",INDEX('_Datos'!$K$7:$K$200,$P34))</f>
      </c>
      <c r="I34" s="207">
        <f>IF($P34="","",INDEX('_Datos'!$S$7:$S$200,$P34))</f>
      </c>
      <c r="J34" s="207">
        <f>IF($P34="","",INDEX('_Datos'!$T$7:$T$200,$P34))</f>
      </c>
      <c r="K34" s="206">
        <f>IF($P34="","",INDEX('_Datos'!$V$7:$V$200,$P34))</f>
      </c>
      <c r="L34" s="207">
        <f>IF($P34="","",INDEX('_Datos'!$W$7:$W$200,$P34))</f>
      </c>
      <c r="M34" s="204">
        <f>IF($P34="","",INDEX('_Datos'!$AC$7:$AC$200,$P34))</f>
      </c>
      <c r="P34" s="201">
        <f>IFERROR(MATCH(LARGE('_Datos'!$AJ$7:$AJ$200,ROW()-7+1),'_Datos'!$AJ$7:$AJ$200,0),"")</f>
      </c>
    </row>
    <row r="35">
      <c r="B35" s="203">
        <f>IF($P35="","",INDEX('_Datos'!$AB$7:$AB$200,$P35))</f>
      </c>
      <c r="C35" s="203">
        <f>IF($P35="","",INDEX('_Datos'!$AE$7:$AE$200,$P35))</f>
      </c>
      <c r="D35" s="204">
        <f>IF($P35="","",INDEX('_Datos'!$F$7:$F$200,$P35))</f>
      </c>
      <c r="E35" s="204">
        <f>IF($P35="","",INDEX('_Datos'!$G$7:$G$200,$P35))</f>
      </c>
      <c r="F35" s="205">
        <f>IF($P35="","",INDEX('_Datos'!$H$7:$H$200,$P35))</f>
      </c>
      <c r="G35" s="203">
        <f>IF($P35="","",INDEX('_Datos'!$J$7:$J$200,$P35))</f>
      </c>
      <c r="H35" s="207">
        <f>IF($P35="","",INDEX('_Datos'!$K$7:$K$200,$P35))</f>
      </c>
      <c r="I35" s="207">
        <f>IF($P35="","",INDEX('_Datos'!$S$7:$S$200,$P35))</f>
      </c>
      <c r="J35" s="207">
        <f>IF($P35="","",INDEX('_Datos'!$T$7:$T$200,$P35))</f>
      </c>
      <c r="K35" s="206">
        <f>IF($P35="","",INDEX('_Datos'!$V$7:$V$200,$P35))</f>
      </c>
      <c r="L35" s="207">
        <f>IF($P35="","",INDEX('_Datos'!$W$7:$W$200,$P35))</f>
      </c>
      <c r="M35" s="204">
        <f>IF($P35="","",INDEX('_Datos'!$AC$7:$AC$200,$P35))</f>
      </c>
      <c r="P35" s="201">
        <f>IFERROR(MATCH(LARGE('_Datos'!$AJ$7:$AJ$200,ROW()-7+1),'_Datos'!$AJ$7:$AJ$200,0),"")</f>
      </c>
    </row>
    <row r="36">
      <c r="B36" s="203">
        <f>IF($P36="","",INDEX('_Datos'!$AB$7:$AB$200,$P36))</f>
      </c>
      <c r="C36" s="203">
        <f>IF($P36="","",INDEX('_Datos'!$AE$7:$AE$200,$P36))</f>
      </c>
      <c r="D36" s="204">
        <f>IF($P36="","",INDEX('_Datos'!$F$7:$F$200,$P36))</f>
      </c>
      <c r="E36" s="204">
        <f>IF($P36="","",INDEX('_Datos'!$G$7:$G$200,$P36))</f>
      </c>
      <c r="F36" s="205">
        <f>IF($P36="","",INDEX('_Datos'!$H$7:$H$200,$P36))</f>
      </c>
      <c r="G36" s="203">
        <f>IF($P36="","",INDEX('_Datos'!$J$7:$J$200,$P36))</f>
      </c>
      <c r="H36" s="207">
        <f>IF($P36="","",INDEX('_Datos'!$K$7:$K$200,$P36))</f>
      </c>
      <c r="I36" s="207">
        <f>IF($P36="","",INDEX('_Datos'!$S$7:$S$200,$P36))</f>
      </c>
      <c r="J36" s="207">
        <f>IF($P36="","",INDEX('_Datos'!$T$7:$T$200,$P36))</f>
      </c>
      <c r="K36" s="206">
        <f>IF($P36="","",INDEX('_Datos'!$V$7:$V$200,$P36))</f>
      </c>
      <c r="L36" s="207">
        <f>IF($P36="","",INDEX('_Datos'!$W$7:$W$200,$P36))</f>
      </c>
      <c r="M36" s="204">
        <f>IF($P36="","",INDEX('_Datos'!$AC$7:$AC$200,$P36))</f>
      </c>
      <c r="P36" s="201">
        <f>IFERROR(MATCH(LARGE('_Datos'!$AJ$7:$AJ$200,ROW()-7+1),'_Datos'!$AJ$7:$AJ$200,0),"")</f>
      </c>
    </row>
    <row r="37">
      <c r="B37" s="203">
        <f>IF($P37="","",INDEX('_Datos'!$AB$7:$AB$200,$P37))</f>
      </c>
      <c r="C37" s="203">
        <f>IF($P37="","",INDEX('_Datos'!$AE$7:$AE$200,$P37))</f>
      </c>
      <c r="D37" s="204">
        <f>IF($P37="","",INDEX('_Datos'!$F$7:$F$200,$P37))</f>
      </c>
      <c r="E37" s="204">
        <f>IF($P37="","",INDEX('_Datos'!$G$7:$G$200,$P37))</f>
      </c>
      <c r="F37" s="205">
        <f>IF($P37="","",INDEX('_Datos'!$H$7:$H$200,$P37))</f>
      </c>
      <c r="G37" s="203">
        <f>IF($P37="","",INDEX('_Datos'!$J$7:$J$200,$P37))</f>
      </c>
      <c r="H37" s="207">
        <f>IF($P37="","",INDEX('_Datos'!$K$7:$K$200,$P37))</f>
      </c>
      <c r="I37" s="207">
        <f>IF($P37="","",INDEX('_Datos'!$S$7:$S$200,$P37))</f>
      </c>
      <c r="J37" s="207">
        <f>IF($P37="","",INDEX('_Datos'!$T$7:$T$200,$P37))</f>
      </c>
      <c r="K37" s="206">
        <f>IF($P37="","",INDEX('_Datos'!$V$7:$V$200,$P37))</f>
      </c>
      <c r="L37" s="207">
        <f>IF($P37="","",INDEX('_Datos'!$W$7:$W$200,$P37))</f>
      </c>
      <c r="M37" s="204">
        <f>IF($P37="","",INDEX('_Datos'!$AC$7:$AC$200,$P37))</f>
      </c>
      <c r="P37" s="201">
        <f>IFERROR(MATCH(LARGE('_Datos'!$AJ$7:$AJ$200,ROW()-7+1),'_Datos'!$AJ$7:$AJ$200,0),"")</f>
      </c>
    </row>
    <row r="38">
      <c r="B38" s="203">
        <f>IF($P38="","",INDEX('_Datos'!$AB$7:$AB$200,$P38))</f>
      </c>
      <c r="C38" s="203">
        <f>IF($P38="","",INDEX('_Datos'!$AE$7:$AE$200,$P38))</f>
      </c>
      <c r="D38" s="204">
        <f>IF($P38="","",INDEX('_Datos'!$F$7:$F$200,$P38))</f>
      </c>
      <c r="E38" s="204">
        <f>IF($P38="","",INDEX('_Datos'!$G$7:$G$200,$P38))</f>
      </c>
      <c r="F38" s="205">
        <f>IF($P38="","",INDEX('_Datos'!$H$7:$H$200,$P38))</f>
      </c>
      <c r="G38" s="203">
        <f>IF($P38="","",INDEX('_Datos'!$J$7:$J$200,$P38))</f>
      </c>
      <c r="H38" s="207">
        <f>IF($P38="","",INDEX('_Datos'!$K$7:$K$200,$P38))</f>
      </c>
      <c r="I38" s="207">
        <f>IF($P38="","",INDEX('_Datos'!$S$7:$S$200,$P38))</f>
      </c>
      <c r="J38" s="207">
        <f>IF($P38="","",INDEX('_Datos'!$T$7:$T$200,$P38))</f>
      </c>
      <c r="K38" s="206">
        <f>IF($P38="","",INDEX('_Datos'!$V$7:$V$200,$P38))</f>
      </c>
      <c r="L38" s="207">
        <f>IF($P38="","",INDEX('_Datos'!$W$7:$W$200,$P38))</f>
      </c>
      <c r="M38" s="204">
        <f>IF($P38="","",INDEX('_Datos'!$AC$7:$AC$200,$P38))</f>
      </c>
      <c r="P38" s="201">
        <f>IFERROR(MATCH(LARGE('_Datos'!$AJ$7:$AJ$200,ROW()-7+1),'_Datos'!$AJ$7:$AJ$200,0),"")</f>
      </c>
    </row>
    <row r="39">
      <c r="B39" s="203">
        <f>IF($P39="","",INDEX('_Datos'!$AB$7:$AB$200,$P39))</f>
      </c>
      <c r="C39" s="203">
        <f>IF($P39="","",INDEX('_Datos'!$AE$7:$AE$200,$P39))</f>
      </c>
      <c r="D39" s="204">
        <f>IF($P39="","",INDEX('_Datos'!$F$7:$F$200,$P39))</f>
      </c>
      <c r="E39" s="204">
        <f>IF($P39="","",INDEX('_Datos'!$G$7:$G$200,$P39))</f>
      </c>
      <c r="F39" s="205">
        <f>IF($P39="","",INDEX('_Datos'!$H$7:$H$200,$P39))</f>
      </c>
      <c r="G39" s="203">
        <f>IF($P39="","",INDEX('_Datos'!$J$7:$J$200,$P39))</f>
      </c>
      <c r="H39" s="207">
        <f>IF($P39="","",INDEX('_Datos'!$K$7:$K$200,$P39))</f>
      </c>
      <c r="I39" s="207">
        <f>IF($P39="","",INDEX('_Datos'!$S$7:$S$200,$P39))</f>
      </c>
      <c r="J39" s="207">
        <f>IF($P39="","",INDEX('_Datos'!$T$7:$T$200,$P39))</f>
      </c>
      <c r="K39" s="206">
        <f>IF($P39="","",INDEX('_Datos'!$V$7:$V$200,$P39))</f>
      </c>
      <c r="L39" s="207">
        <f>IF($P39="","",INDEX('_Datos'!$W$7:$W$200,$P39))</f>
      </c>
      <c r="M39" s="204">
        <f>IF($P39="","",INDEX('_Datos'!$AC$7:$AC$200,$P39))</f>
      </c>
      <c r="P39" s="201">
        <f>IFERROR(MATCH(LARGE('_Datos'!$AJ$7:$AJ$200,ROW()-7+1),'_Datos'!$AJ$7:$AJ$200,0),"")</f>
      </c>
    </row>
    <row r="40">
      <c r="B40" s="203">
        <f>IF($P40="","",INDEX('_Datos'!$AB$7:$AB$200,$P40))</f>
      </c>
      <c r="C40" s="203">
        <f>IF($P40="","",INDEX('_Datos'!$AE$7:$AE$200,$P40))</f>
      </c>
      <c r="D40" s="204">
        <f>IF($P40="","",INDEX('_Datos'!$F$7:$F$200,$P40))</f>
      </c>
      <c r="E40" s="204">
        <f>IF($P40="","",INDEX('_Datos'!$G$7:$G$200,$P40))</f>
      </c>
      <c r="F40" s="205">
        <f>IF($P40="","",INDEX('_Datos'!$H$7:$H$200,$P40))</f>
      </c>
      <c r="G40" s="203">
        <f>IF($P40="","",INDEX('_Datos'!$J$7:$J$200,$P40))</f>
      </c>
      <c r="H40" s="207">
        <f>IF($P40="","",INDEX('_Datos'!$K$7:$K$200,$P40))</f>
      </c>
      <c r="I40" s="207">
        <f>IF($P40="","",INDEX('_Datos'!$S$7:$S$200,$P40))</f>
      </c>
      <c r="J40" s="207">
        <f>IF($P40="","",INDEX('_Datos'!$T$7:$T$200,$P40))</f>
      </c>
      <c r="K40" s="206">
        <f>IF($P40="","",INDEX('_Datos'!$V$7:$V$200,$P40))</f>
      </c>
      <c r="L40" s="207">
        <f>IF($P40="","",INDEX('_Datos'!$W$7:$W$200,$P40))</f>
      </c>
      <c r="M40" s="204">
        <f>IF($P40="","",INDEX('_Datos'!$AC$7:$AC$200,$P40))</f>
      </c>
      <c r="P40" s="201">
        <f>IFERROR(MATCH(LARGE('_Datos'!$AJ$7:$AJ$200,ROW()-7+1),'_Datos'!$AJ$7:$AJ$200,0),"")</f>
      </c>
    </row>
    <row r="41">
      <c r="B41" s="203">
        <f>IF($P41="","",INDEX('_Datos'!$AB$7:$AB$200,$P41))</f>
      </c>
      <c r="C41" s="203">
        <f>IF($P41="","",INDEX('_Datos'!$AE$7:$AE$200,$P41))</f>
      </c>
      <c r="D41" s="204">
        <f>IF($P41="","",INDEX('_Datos'!$F$7:$F$200,$P41))</f>
      </c>
      <c r="E41" s="204">
        <f>IF($P41="","",INDEX('_Datos'!$G$7:$G$200,$P41))</f>
      </c>
      <c r="F41" s="205">
        <f>IF($P41="","",INDEX('_Datos'!$H$7:$H$200,$P41))</f>
      </c>
      <c r="G41" s="203">
        <f>IF($P41="","",INDEX('_Datos'!$J$7:$J$200,$P41))</f>
      </c>
      <c r="H41" s="207">
        <f>IF($P41="","",INDEX('_Datos'!$K$7:$K$200,$P41))</f>
      </c>
      <c r="I41" s="207">
        <f>IF($P41="","",INDEX('_Datos'!$S$7:$S$200,$P41))</f>
      </c>
      <c r="J41" s="207">
        <f>IF($P41="","",INDEX('_Datos'!$T$7:$T$200,$P41))</f>
      </c>
      <c r="K41" s="206">
        <f>IF($P41="","",INDEX('_Datos'!$V$7:$V$200,$P41))</f>
      </c>
      <c r="L41" s="207">
        <f>IF($P41="","",INDEX('_Datos'!$W$7:$W$200,$P41))</f>
      </c>
      <c r="M41" s="204">
        <f>IF($P41="","",INDEX('_Datos'!$AC$7:$AC$200,$P41))</f>
      </c>
      <c r="P41" s="201">
        <f>IFERROR(MATCH(LARGE('_Datos'!$AJ$7:$AJ$200,ROW()-7+1),'_Datos'!$AJ$7:$AJ$200,0),"")</f>
      </c>
    </row>
    <row r="42">
      <c r="B42" s="203">
        <f>IF($P42="","",INDEX('_Datos'!$AB$7:$AB$200,$P42))</f>
      </c>
      <c r="C42" s="203">
        <f>IF($P42="","",INDEX('_Datos'!$AE$7:$AE$200,$P42))</f>
      </c>
      <c r="D42" s="204">
        <f>IF($P42="","",INDEX('_Datos'!$F$7:$F$200,$P42))</f>
      </c>
      <c r="E42" s="204">
        <f>IF($P42="","",INDEX('_Datos'!$G$7:$G$200,$P42))</f>
      </c>
      <c r="F42" s="205">
        <f>IF($P42="","",INDEX('_Datos'!$H$7:$H$200,$P42))</f>
      </c>
      <c r="G42" s="203">
        <f>IF($P42="","",INDEX('_Datos'!$J$7:$J$200,$P42))</f>
      </c>
      <c r="H42" s="207">
        <f>IF($P42="","",INDEX('_Datos'!$K$7:$K$200,$P42))</f>
      </c>
      <c r="I42" s="207">
        <f>IF($P42="","",INDEX('_Datos'!$S$7:$S$200,$P42))</f>
      </c>
      <c r="J42" s="207">
        <f>IF($P42="","",INDEX('_Datos'!$T$7:$T$200,$P42))</f>
      </c>
      <c r="K42" s="206">
        <f>IF($P42="","",INDEX('_Datos'!$V$7:$V$200,$P42))</f>
      </c>
      <c r="L42" s="207">
        <f>IF($P42="","",INDEX('_Datos'!$W$7:$W$200,$P42))</f>
      </c>
      <c r="M42" s="204">
        <f>IF($P42="","",INDEX('_Datos'!$AC$7:$AC$200,$P42))</f>
      </c>
      <c r="P42" s="201">
        <f>IFERROR(MATCH(LARGE('_Datos'!$AJ$7:$AJ$200,ROW()-7+1),'_Datos'!$AJ$7:$AJ$200,0),"")</f>
      </c>
    </row>
    <row r="43">
      <c r="B43" s="203">
        <f>IF($P43="","",INDEX('_Datos'!$AB$7:$AB$200,$P43))</f>
      </c>
      <c r="C43" s="203">
        <f>IF($P43="","",INDEX('_Datos'!$AE$7:$AE$200,$P43))</f>
      </c>
      <c r="D43" s="204">
        <f>IF($P43="","",INDEX('_Datos'!$F$7:$F$200,$P43))</f>
      </c>
      <c r="E43" s="204">
        <f>IF($P43="","",INDEX('_Datos'!$G$7:$G$200,$P43))</f>
      </c>
      <c r="F43" s="205">
        <f>IF($P43="","",INDEX('_Datos'!$H$7:$H$200,$P43))</f>
      </c>
      <c r="G43" s="203">
        <f>IF($P43="","",INDEX('_Datos'!$J$7:$J$200,$P43))</f>
      </c>
      <c r="H43" s="207">
        <f>IF($P43="","",INDEX('_Datos'!$K$7:$K$200,$P43))</f>
      </c>
      <c r="I43" s="207">
        <f>IF($P43="","",INDEX('_Datos'!$S$7:$S$200,$P43))</f>
      </c>
      <c r="J43" s="207">
        <f>IF($P43="","",INDEX('_Datos'!$T$7:$T$200,$P43))</f>
      </c>
      <c r="K43" s="206">
        <f>IF($P43="","",INDEX('_Datos'!$V$7:$V$200,$P43))</f>
      </c>
      <c r="L43" s="207">
        <f>IF($P43="","",INDEX('_Datos'!$W$7:$W$200,$P43))</f>
      </c>
      <c r="M43" s="204">
        <f>IF($P43="","",INDEX('_Datos'!$AC$7:$AC$200,$P43))</f>
      </c>
      <c r="P43" s="201">
        <f>IFERROR(MATCH(LARGE('_Datos'!$AJ$7:$AJ$200,ROW()-7+1),'_Datos'!$AJ$7:$AJ$200,0),"")</f>
      </c>
    </row>
    <row r="44">
      <c r="B44" s="203">
        <f>IF($P44="","",INDEX('_Datos'!$AB$7:$AB$200,$P44))</f>
      </c>
      <c r="C44" s="203">
        <f>IF($P44="","",INDEX('_Datos'!$AE$7:$AE$200,$P44))</f>
      </c>
      <c r="D44" s="204">
        <f>IF($P44="","",INDEX('_Datos'!$F$7:$F$200,$P44))</f>
      </c>
      <c r="E44" s="204">
        <f>IF($P44="","",INDEX('_Datos'!$G$7:$G$200,$P44))</f>
      </c>
      <c r="F44" s="205">
        <f>IF($P44="","",INDEX('_Datos'!$H$7:$H$200,$P44))</f>
      </c>
      <c r="G44" s="203">
        <f>IF($P44="","",INDEX('_Datos'!$J$7:$J$200,$P44))</f>
      </c>
      <c r="H44" s="207">
        <f>IF($P44="","",INDEX('_Datos'!$K$7:$K$200,$P44))</f>
      </c>
      <c r="I44" s="207">
        <f>IF($P44="","",INDEX('_Datos'!$S$7:$S$200,$P44))</f>
      </c>
      <c r="J44" s="207">
        <f>IF($P44="","",INDEX('_Datos'!$T$7:$T$200,$P44))</f>
      </c>
      <c r="K44" s="206">
        <f>IF($P44="","",INDEX('_Datos'!$V$7:$V$200,$P44))</f>
      </c>
      <c r="L44" s="207">
        <f>IF($P44="","",INDEX('_Datos'!$W$7:$W$200,$P44))</f>
      </c>
      <c r="M44" s="204">
        <f>IF($P44="","",INDEX('_Datos'!$AC$7:$AC$200,$P44))</f>
      </c>
      <c r="P44" s="201">
        <f>IFERROR(MATCH(LARGE('_Datos'!$AJ$7:$AJ$200,ROW()-7+1),'_Datos'!$AJ$7:$AJ$200,0),"")</f>
      </c>
    </row>
    <row r="45">
      <c r="B45" s="203">
        <f>IF($P45="","",INDEX('_Datos'!$AB$7:$AB$200,$P45))</f>
      </c>
      <c r="C45" s="203">
        <f>IF($P45="","",INDEX('_Datos'!$AE$7:$AE$200,$P45))</f>
      </c>
      <c r="D45" s="204">
        <f>IF($P45="","",INDEX('_Datos'!$F$7:$F$200,$P45))</f>
      </c>
      <c r="E45" s="204">
        <f>IF($P45="","",INDEX('_Datos'!$G$7:$G$200,$P45))</f>
      </c>
      <c r="F45" s="205">
        <f>IF($P45="","",INDEX('_Datos'!$H$7:$H$200,$P45))</f>
      </c>
      <c r="G45" s="203">
        <f>IF($P45="","",INDEX('_Datos'!$J$7:$J$200,$P45))</f>
      </c>
      <c r="H45" s="207">
        <f>IF($P45="","",INDEX('_Datos'!$K$7:$K$200,$P45))</f>
      </c>
      <c r="I45" s="207">
        <f>IF($P45="","",INDEX('_Datos'!$S$7:$S$200,$P45))</f>
      </c>
      <c r="J45" s="207">
        <f>IF($P45="","",INDEX('_Datos'!$T$7:$T$200,$P45))</f>
      </c>
      <c r="K45" s="206">
        <f>IF($P45="","",INDEX('_Datos'!$V$7:$V$200,$P45))</f>
      </c>
      <c r="L45" s="207">
        <f>IF($P45="","",INDEX('_Datos'!$W$7:$W$200,$P45))</f>
      </c>
      <c r="M45" s="204">
        <f>IF($P45="","",INDEX('_Datos'!$AC$7:$AC$200,$P45))</f>
      </c>
      <c r="P45" s="201">
        <f>IFERROR(MATCH(LARGE('_Datos'!$AJ$7:$AJ$200,ROW()-7+1),'_Datos'!$AJ$7:$AJ$200,0),"")</f>
      </c>
    </row>
    <row r="46">
      <c r="B46" s="203">
        <f>IF($P46="","",INDEX('_Datos'!$AB$7:$AB$200,$P46))</f>
      </c>
      <c r="C46" s="203">
        <f>IF($P46="","",INDEX('_Datos'!$AE$7:$AE$200,$P46))</f>
      </c>
      <c r="D46" s="204">
        <f>IF($P46="","",INDEX('_Datos'!$F$7:$F$200,$P46))</f>
      </c>
      <c r="E46" s="204">
        <f>IF($P46="","",INDEX('_Datos'!$G$7:$G$200,$P46))</f>
      </c>
      <c r="F46" s="205">
        <f>IF($P46="","",INDEX('_Datos'!$H$7:$H$200,$P46))</f>
      </c>
      <c r="G46" s="203">
        <f>IF($P46="","",INDEX('_Datos'!$J$7:$J$200,$P46))</f>
      </c>
      <c r="H46" s="207">
        <f>IF($P46="","",INDEX('_Datos'!$K$7:$K$200,$P46))</f>
      </c>
      <c r="I46" s="207">
        <f>IF($P46="","",INDEX('_Datos'!$S$7:$S$200,$P46))</f>
      </c>
      <c r="J46" s="207">
        <f>IF($P46="","",INDEX('_Datos'!$T$7:$T$200,$P46))</f>
      </c>
      <c r="K46" s="206">
        <f>IF($P46="","",INDEX('_Datos'!$V$7:$V$200,$P46))</f>
      </c>
      <c r="L46" s="207">
        <f>IF($P46="","",INDEX('_Datos'!$W$7:$W$200,$P46))</f>
      </c>
      <c r="M46" s="204">
        <f>IF($P46="","",INDEX('_Datos'!$AC$7:$AC$200,$P46))</f>
      </c>
      <c r="P46" s="201">
        <f>IFERROR(MATCH(LARGE('_Datos'!$AJ$7:$AJ$200,ROW()-7+1),'_Datos'!$AJ$7:$AJ$200,0),"")</f>
      </c>
    </row>
    <row r="47">
      <c r="B47" s="203">
        <f>IF($P47="","",INDEX('_Datos'!$AB$7:$AB$200,$P47))</f>
      </c>
      <c r="C47" s="203">
        <f>IF($P47="","",INDEX('_Datos'!$AE$7:$AE$200,$P47))</f>
      </c>
      <c r="D47" s="204">
        <f>IF($P47="","",INDEX('_Datos'!$F$7:$F$200,$P47))</f>
      </c>
      <c r="E47" s="204">
        <f>IF($P47="","",INDEX('_Datos'!$G$7:$G$200,$P47))</f>
      </c>
      <c r="F47" s="205">
        <f>IF($P47="","",INDEX('_Datos'!$H$7:$H$200,$P47))</f>
      </c>
      <c r="G47" s="203">
        <f>IF($P47="","",INDEX('_Datos'!$J$7:$J$200,$P47))</f>
      </c>
      <c r="H47" s="207">
        <f>IF($P47="","",INDEX('_Datos'!$K$7:$K$200,$P47))</f>
      </c>
      <c r="I47" s="207">
        <f>IF($P47="","",INDEX('_Datos'!$S$7:$S$200,$P47))</f>
      </c>
      <c r="J47" s="207">
        <f>IF($P47="","",INDEX('_Datos'!$T$7:$T$200,$P47))</f>
      </c>
      <c r="K47" s="206">
        <f>IF($P47="","",INDEX('_Datos'!$V$7:$V$200,$P47))</f>
      </c>
      <c r="L47" s="207">
        <f>IF($P47="","",INDEX('_Datos'!$W$7:$W$200,$P47))</f>
      </c>
      <c r="M47" s="204">
        <f>IF($P47="","",INDEX('_Datos'!$AC$7:$AC$200,$P47))</f>
      </c>
      <c r="P47" s="201">
        <f>IFERROR(MATCH(LARGE('_Datos'!$AJ$7:$AJ$200,ROW()-7+1),'_Datos'!$AJ$7:$AJ$200,0),"")</f>
      </c>
    </row>
    <row r="48">
      <c r="B48" s="203">
        <f>IF($P48="","",INDEX('_Datos'!$AB$7:$AB$200,$P48))</f>
      </c>
      <c r="C48" s="203">
        <f>IF($P48="","",INDEX('_Datos'!$AE$7:$AE$200,$P48))</f>
      </c>
      <c r="D48" s="204">
        <f>IF($P48="","",INDEX('_Datos'!$F$7:$F$200,$P48))</f>
      </c>
      <c r="E48" s="204">
        <f>IF($P48="","",INDEX('_Datos'!$G$7:$G$200,$P48))</f>
      </c>
      <c r="F48" s="205">
        <f>IF($P48="","",INDEX('_Datos'!$H$7:$H$200,$P48))</f>
      </c>
      <c r="G48" s="203">
        <f>IF($P48="","",INDEX('_Datos'!$J$7:$J$200,$P48))</f>
      </c>
      <c r="H48" s="207">
        <f>IF($P48="","",INDEX('_Datos'!$K$7:$K$200,$P48))</f>
      </c>
      <c r="I48" s="207">
        <f>IF($P48="","",INDEX('_Datos'!$S$7:$S$200,$P48))</f>
      </c>
      <c r="J48" s="207">
        <f>IF($P48="","",INDEX('_Datos'!$T$7:$T$200,$P48))</f>
      </c>
      <c r="K48" s="206">
        <f>IF($P48="","",INDEX('_Datos'!$V$7:$V$200,$P48))</f>
      </c>
      <c r="L48" s="207">
        <f>IF($P48="","",INDEX('_Datos'!$W$7:$W$200,$P48))</f>
      </c>
      <c r="M48" s="204">
        <f>IF($P48="","",INDEX('_Datos'!$AC$7:$AC$200,$P48))</f>
      </c>
      <c r="P48" s="201">
        <f>IFERROR(MATCH(LARGE('_Datos'!$AJ$7:$AJ$200,ROW()-7+1),'_Datos'!$AJ$7:$AJ$200,0),"")</f>
      </c>
    </row>
    <row r="49">
      <c r="B49" s="203">
        <f>IF($P49="","",INDEX('_Datos'!$AB$7:$AB$200,$P49))</f>
      </c>
      <c r="C49" s="203">
        <f>IF($P49="","",INDEX('_Datos'!$AE$7:$AE$200,$P49))</f>
      </c>
      <c r="D49" s="204">
        <f>IF($P49="","",INDEX('_Datos'!$F$7:$F$200,$P49))</f>
      </c>
      <c r="E49" s="204">
        <f>IF($P49="","",INDEX('_Datos'!$G$7:$G$200,$P49))</f>
      </c>
      <c r="F49" s="205">
        <f>IF($P49="","",INDEX('_Datos'!$H$7:$H$200,$P49))</f>
      </c>
      <c r="G49" s="203">
        <f>IF($P49="","",INDEX('_Datos'!$J$7:$J$200,$P49))</f>
      </c>
      <c r="H49" s="207">
        <f>IF($P49="","",INDEX('_Datos'!$K$7:$K$200,$P49))</f>
      </c>
      <c r="I49" s="207">
        <f>IF($P49="","",INDEX('_Datos'!$S$7:$S$200,$P49))</f>
      </c>
      <c r="J49" s="207">
        <f>IF($P49="","",INDEX('_Datos'!$T$7:$T$200,$P49))</f>
      </c>
      <c r="K49" s="206">
        <f>IF($P49="","",INDEX('_Datos'!$V$7:$V$200,$P49))</f>
      </c>
      <c r="L49" s="207">
        <f>IF($P49="","",INDEX('_Datos'!$W$7:$W$200,$P49))</f>
      </c>
      <c r="M49" s="204">
        <f>IF($P49="","",INDEX('_Datos'!$AC$7:$AC$200,$P49))</f>
      </c>
      <c r="P49" s="201">
        <f>IFERROR(MATCH(LARGE('_Datos'!$AJ$7:$AJ$200,ROW()-7+1),'_Datos'!$AJ$7:$AJ$200,0),"")</f>
      </c>
    </row>
    <row r="50">
      <c r="B50" s="203">
        <f>IF($P50="","",INDEX('_Datos'!$AB$7:$AB$200,$P50))</f>
      </c>
      <c r="C50" s="203">
        <f>IF($P50="","",INDEX('_Datos'!$AE$7:$AE$200,$P50))</f>
      </c>
      <c r="D50" s="204">
        <f>IF($P50="","",INDEX('_Datos'!$F$7:$F$200,$P50))</f>
      </c>
      <c r="E50" s="204">
        <f>IF($P50="","",INDEX('_Datos'!$G$7:$G$200,$P50))</f>
      </c>
      <c r="F50" s="205">
        <f>IF($P50="","",INDEX('_Datos'!$H$7:$H$200,$P50))</f>
      </c>
      <c r="G50" s="203">
        <f>IF($P50="","",INDEX('_Datos'!$J$7:$J$200,$P50))</f>
      </c>
      <c r="H50" s="207">
        <f>IF($P50="","",INDEX('_Datos'!$K$7:$K$200,$P50))</f>
      </c>
      <c r="I50" s="207">
        <f>IF($P50="","",INDEX('_Datos'!$S$7:$S$200,$P50))</f>
      </c>
      <c r="J50" s="207">
        <f>IF($P50="","",INDEX('_Datos'!$T$7:$T$200,$P50))</f>
      </c>
      <c r="K50" s="206">
        <f>IF($P50="","",INDEX('_Datos'!$V$7:$V$200,$P50))</f>
      </c>
      <c r="L50" s="207">
        <f>IF($P50="","",INDEX('_Datos'!$W$7:$W$200,$P50))</f>
      </c>
      <c r="M50" s="204">
        <f>IF($P50="","",INDEX('_Datos'!$AC$7:$AC$200,$P50))</f>
      </c>
      <c r="P50" s="201">
        <f>IFERROR(MATCH(LARGE('_Datos'!$AJ$7:$AJ$200,ROW()-7+1),'_Datos'!$AJ$7:$AJ$200,0),"")</f>
      </c>
    </row>
    <row r="51">
      <c r="B51" s="203">
        <f>IF($P51="","",INDEX('_Datos'!$AB$7:$AB$200,$P51))</f>
      </c>
      <c r="C51" s="203">
        <f>IF($P51="","",INDEX('_Datos'!$AE$7:$AE$200,$P51))</f>
      </c>
      <c r="D51" s="204">
        <f>IF($P51="","",INDEX('_Datos'!$F$7:$F$200,$P51))</f>
      </c>
      <c r="E51" s="204">
        <f>IF($P51="","",INDEX('_Datos'!$G$7:$G$200,$P51))</f>
      </c>
      <c r="F51" s="205">
        <f>IF($P51="","",INDEX('_Datos'!$H$7:$H$200,$P51))</f>
      </c>
      <c r="G51" s="203">
        <f>IF($P51="","",INDEX('_Datos'!$J$7:$J$200,$P51))</f>
      </c>
      <c r="H51" s="207">
        <f>IF($P51="","",INDEX('_Datos'!$K$7:$K$200,$P51))</f>
      </c>
      <c r="I51" s="207">
        <f>IF($P51="","",INDEX('_Datos'!$S$7:$S$200,$P51))</f>
      </c>
      <c r="J51" s="207">
        <f>IF($P51="","",INDEX('_Datos'!$T$7:$T$200,$P51))</f>
      </c>
      <c r="K51" s="206">
        <f>IF($P51="","",INDEX('_Datos'!$V$7:$V$200,$P51))</f>
      </c>
      <c r="L51" s="207">
        <f>IF($P51="","",INDEX('_Datos'!$W$7:$W$200,$P51))</f>
      </c>
      <c r="M51" s="204">
        <f>IF($P51="","",INDEX('_Datos'!$AC$7:$AC$200,$P51))</f>
      </c>
      <c r="P51" s="201">
        <f>IFERROR(MATCH(LARGE('_Datos'!$AJ$7:$AJ$200,ROW()-7+1),'_Datos'!$AJ$7:$AJ$200,0),"")</f>
      </c>
    </row>
    <row r="52">
      <c r="B52" s="203">
        <f>IF($P52="","",INDEX('_Datos'!$AB$7:$AB$200,$P52))</f>
      </c>
      <c r="C52" s="203">
        <f>IF($P52="","",INDEX('_Datos'!$AE$7:$AE$200,$P52))</f>
      </c>
      <c r="D52" s="204">
        <f>IF($P52="","",INDEX('_Datos'!$F$7:$F$200,$P52))</f>
      </c>
      <c r="E52" s="204">
        <f>IF($P52="","",INDEX('_Datos'!$G$7:$G$200,$P52))</f>
      </c>
      <c r="F52" s="205">
        <f>IF($P52="","",INDEX('_Datos'!$H$7:$H$200,$P52))</f>
      </c>
      <c r="G52" s="203">
        <f>IF($P52="","",INDEX('_Datos'!$J$7:$J$200,$P52))</f>
      </c>
      <c r="H52" s="207">
        <f>IF($P52="","",INDEX('_Datos'!$K$7:$K$200,$P52))</f>
      </c>
      <c r="I52" s="207">
        <f>IF($P52="","",INDEX('_Datos'!$S$7:$S$200,$P52))</f>
      </c>
      <c r="J52" s="207">
        <f>IF($P52="","",INDEX('_Datos'!$T$7:$T$200,$P52))</f>
      </c>
      <c r="K52" s="206">
        <f>IF($P52="","",INDEX('_Datos'!$V$7:$V$200,$P52))</f>
      </c>
      <c r="L52" s="207">
        <f>IF($P52="","",INDEX('_Datos'!$W$7:$W$200,$P52))</f>
      </c>
      <c r="M52" s="204">
        <f>IF($P52="","",INDEX('_Datos'!$AC$7:$AC$200,$P52))</f>
      </c>
      <c r="P52" s="201">
        <f>IFERROR(MATCH(LARGE('_Datos'!$AJ$7:$AJ$200,ROW()-7+1),'_Datos'!$AJ$7:$AJ$200,0),"")</f>
      </c>
    </row>
    <row r="53">
      <c r="B53" s="203">
        <f>IF($P53="","",INDEX('_Datos'!$AB$7:$AB$200,$P53))</f>
      </c>
      <c r="C53" s="203">
        <f>IF($P53="","",INDEX('_Datos'!$AE$7:$AE$200,$P53))</f>
      </c>
      <c r="D53" s="204">
        <f>IF($P53="","",INDEX('_Datos'!$F$7:$F$200,$P53))</f>
      </c>
      <c r="E53" s="204">
        <f>IF($P53="","",INDEX('_Datos'!$G$7:$G$200,$P53))</f>
      </c>
      <c r="F53" s="205">
        <f>IF($P53="","",INDEX('_Datos'!$H$7:$H$200,$P53))</f>
      </c>
      <c r="G53" s="203">
        <f>IF($P53="","",INDEX('_Datos'!$J$7:$J$200,$P53))</f>
      </c>
      <c r="H53" s="207">
        <f>IF($P53="","",INDEX('_Datos'!$K$7:$K$200,$P53))</f>
      </c>
      <c r="I53" s="207">
        <f>IF($P53="","",INDEX('_Datos'!$S$7:$S$200,$P53))</f>
      </c>
      <c r="J53" s="207">
        <f>IF($P53="","",INDEX('_Datos'!$T$7:$T$200,$P53))</f>
      </c>
      <c r="K53" s="206">
        <f>IF($P53="","",INDEX('_Datos'!$V$7:$V$200,$P53))</f>
      </c>
      <c r="L53" s="207">
        <f>IF($P53="","",INDEX('_Datos'!$W$7:$W$200,$P53))</f>
      </c>
      <c r="M53" s="204">
        <f>IF($P53="","",INDEX('_Datos'!$AC$7:$AC$200,$P53))</f>
      </c>
      <c r="P53" s="201">
        <f>IFERROR(MATCH(LARGE('_Datos'!$AJ$7:$AJ$200,ROW()-7+1),'_Datos'!$AJ$7:$AJ$200,0),"")</f>
      </c>
    </row>
    <row r="54">
      <c r="B54" s="203">
        <f>IF($P54="","",INDEX('_Datos'!$AB$7:$AB$200,$P54))</f>
      </c>
      <c r="C54" s="203">
        <f>IF($P54="","",INDEX('_Datos'!$AE$7:$AE$200,$P54))</f>
      </c>
      <c r="D54" s="204">
        <f>IF($P54="","",INDEX('_Datos'!$F$7:$F$200,$P54))</f>
      </c>
      <c r="E54" s="204">
        <f>IF($P54="","",INDEX('_Datos'!$G$7:$G$200,$P54))</f>
      </c>
      <c r="F54" s="205">
        <f>IF($P54="","",INDEX('_Datos'!$H$7:$H$200,$P54))</f>
      </c>
      <c r="G54" s="203">
        <f>IF($P54="","",INDEX('_Datos'!$J$7:$J$200,$P54))</f>
      </c>
      <c r="H54" s="207">
        <f>IF($P54="","",INDEX('_Datos'!$K$7:$K$200,$P54))</f>
      </c>
      <c r="I54" s="207">
        <f>IF($P54="","",INDEX('_Datos'!$S$7:$S$200,$P54))</f>
      </c>
      <c r="J54" s="207">
        <f>IF($P54="","",INDEX('_Datos'!$T$7:$T$200,$P54))</f>
      </c>
      <c r="K54" s="206">
        <f>IF($P54="","",INDEX('_Datos'!$V$7:$V$200,$P54))</f>
      </c>
      <c r="L54" s="207">
        <f>IF($P54="","",INDEX('_Datos'!$W$7:$W$200,$P54))</f>
      </c>
      <c r="M54" s="204">
        <f>IF($P54="","",INDEX('_Datos'!$AC$7:$AC$200,$P54))</f>
      </c>
      <c r="P54" s="201">
        <f>IFERROR(MATCH(LARGE('_Datos'!$AJ$7:$AJ$200,ROW()-7+1),'_Datos'!$AJ$7:$AJ$200,0),"")</f>
      </c>
    </row>
    <row r="55">
      <c r="B55" s="203">
        <f>IF($P55="","",INDEX('_Datos'!$AB$7:$AB$200,$P55))</f>
      </c>
      <c r="C55" s="203">
        <f>IF($P55="","",INDEX('_Datos'!$AE$7:$AE$200,$P55))</f>
      </c>
      <c r="D55" s="204">
        <f>IF($P55="","",INDEX('_Datos'!$F$7:$F$200,$P55))</f>
      </c>
      <c r="E55" s="204">
        <f>IF($P55="","",INDEX('_Datos'!$G$7:$G$200,$P55))</f>
      </c>
      <c r="F55" s="205">
        <f>IF($P55="","",INDEX('_Datos'!$H$7:$H$200,$P55))</f>
      </c>
      <c r="G55" s="203">
        <f>IF($P55="","",INDEX('_Datos'!$J$7:$J$200,$P55))</f>
      </c>
      <c r="H55" s="207">
        <f>IF($P55="","",INDEX('_Datos'!$K$7:$K$200,$P55))</f>
      </c>
      <c r="I55" s="207">
        <f>IF($P55="","",INDEX('_Datos'!$S$7:$S$200,$P55))</f>
      </c>
      <c r="J55" s="207">
        <f>IF($P55="","",INDEX('_Datos'!$T$7:$T$200,$P55))</f>
      </c>
      <c r="K55" s="206">
        <f>IF($P55="","",INDEX('_Datos'!$V$7:$V$200,$P55))</f>
      </c>
      <c r="L55" s="207">
        <f>IF($P55="","",INDEX('_Datos'!$W$7:$W$200,$P55))</f>
      </c>
      <c r="M55" s="204">
        <f>IF($P55="","",INDEX('_Datos'!$AC$7:$AC$200,$P55))</f>
      </c>
      <c r="P55" s="201">
        <f>IFERROR(MATCH(LARGE('_Datos'!$AJ$7:$AJ$200,ROW()-7+1),'_Datos'!$AJ$7:$AJ$200,0),"")</f>
      </c>
    </row>
    <row r="56">
      <c r="B56" s="203">
        <f>IF($P56="","",INDEX('_Datos'!$AB$7:$AB$200,$P56))</f>
      </c>
      <c r="C56" s="203">
        <f>IF($P56="","",INDEX('_Datos'!$AE$7:$AE$200,$P56))</f>
      </c>
      <c r="D56" s="204">
        <f>IF($P56="","",INDEX('_Datos'!$F$7:$F$200,$P56))</f>
      </c>
      <c r="E56" s="204">
        <f>IF($P56="","",INDEX('_Datos'!$G$7:$G$200,$P56))</f>
      </c>
      <c r="F56" s="205">
        <f>IF($P56="","",INDEX('_Datos'!$H$7:$H$200,$P56))</f>
      </c>
      <c r="G56" s="203">
        <f>IF($P56="","",INDEX('_Datos'!$J$7:$J$200,$P56))</f>
      </c>
      <c r="H56" s="207">
        <f>IF($P56="","",INDEX('_Datos'!$K$7:$K$200,$P56))</f>
      </c>
      <c r="I56" s="207">
        <f>IF($P56="","",INDEX('_Datos'!$S$7:$S$200,$P56))</f>
      </c>
      <c r="J56" s="207">
        <f>IF($P56="","",INDEX('_Datos'!$T$7:$T$200,$P56))</f>
      </c>
      <c r="K56" s="206">
        <f>IF($P56="","",INDEX('_Datos'!$V$7:$V$200,$P56))</f>
      </c>
      <c r="L56" s="207">
        <f>IF($P56="","",INDEX('_Datos'!$W$7:$W$200,$P56))</f>
      </c>
      <c r="M56" s="204">
        <f>IF($P56="","",INDEX('_Datos'!$AC$7:$AC$200,$P56))</f>
      </c>
      <c r="P56" s="201">
        <f>IFERROR(MATCH(LARGE('_Datos'!$AJ$7:$AJ$200,ROW()-7+1),'_Datos'!$AJ$7:$AJ$200,0),"")</f>
      </c>
    </row>
    <row r="57">
      <c r="B57" s="203">
        <f>IF($P57="","",INDEX('_Datos'!$AB$7:$AB$200,$P57))</f>
      </c>
      <c r="C57" s="203">
        <f>IF($P57="","",INDEX('_Datos'!$AE$7:$AE$200,$P57))</f>
      </c>
      <c r="D57" s="204">
        <f>IF($P57="","",INDEX('_Datos'!$F$7:$F$200,$P57))</f>
      </c>
      <c r="E57" s="204">
        <f>IF($P57="","",INDEX('_Datos'!$G$7:$G$200,$P57))</f>
      </c>
      <c r="F57" s="205">
        <f>IF($P57="","",INDEX('_Datos'!$H$7:$H$200,$P57))</f>
      </c>
      <c r="G57" s="203">
        <f>IF($P57="","",INDEX('_Datos'!$J$7:$J$200,$P57))</f>
      </c>
      <c r="H57" s="207">
        <f>IF($P57="","",INDEX('_Datos'!$K$7:$K$200,$P57))</f>
      </c>
      <c r="I57" s="207">
        <f>IF($P57="","",INDEX('_Datos'!$S$7:$S$200,$P57))</f>
      </c>
      <c r="J57" s="207">
        <f>IF($P57="","",INDEX('_Datos'!$T$7:$T$200,$P57))</f>
      </c>
      <c r="K57" s="206">
        <f>IF($P57="","",INDEX('_Datos'!$V$7:$V$200,$P57))</f>
      </c>
      <c r="L57" s="207">
        <f>IF($P57="","",INDEX('_Datos'!$W$7:$W$200,$P57))</f>
      </c>
      <c r="M57" s="204">
        <f>IF($P57="","",INDEX('_Datos'!$AC$7:$AC$200,$P57))</f>
      </c>
      <c r="P57" s="201">
        <f>IFERROR(MATCH(LARGE('_Datos'!$AJ$7:$AJ$200,ROW()-7+1),'_Datos'!$AJ$7:$AJ$200,0),"")</f>
      </c>
    </row>
    <row r="58">
      <c r="B58" s="203">
        <f>IF($P58="","",INDEX('_Datos'!$AB$7:$AB$200,$P58))</f>
      </c>
      <c r="C58" s="203">
        <f>IF($P58="","",INDEX('_Datos'!$AE$7:$AE$200,$P58))</f>
      </c>
      <c r="D58" s="204">
        <f>IF($P58="","",INDEX('_Datos'!$F$7:$F$200,$P58))</f>
      </c>
      <c r="E58" s="204">
        <f>IF($P58="","",INDEX('_Datos'!$G$7:$G$200,$P58))</f>
      </c>
      <c r="F58" s="205">
        <f>IF($P58="","",INDEX('_Datos'!$H$7:$H$200,$P58))</f>
      </c>
      <c r="G58" s="203">
        <f>IF($P58="","",INDEX('_Datos'!$J$7:$J$200,$P58))</f>
      </c>
      <c r="H58" s="207">
        <f>IF($P58="","",INDEX('_Datos'!$K$7:$K$200,$P58))</f>
      </c>
      <c r="I58" s="207">
        <f>IF($P58="","",INDEX('_Datos'!$S$7:$S$200,$P58))</f>
      </c>
      <c r="J58" s="207">
        <f>IF($P58="","",INDEX('_Datos'!$T$7:$T$200,$P58))</f>
      </c>
      <c r="K58" s="206">
        <f>IF($P58="","",INDEX('_Datos'!$V$7:$V$200,$P58))</f>
      </c>
      <c r="L58" s="207">
        <f>IF($P58="","",INDEX('_Datos'!$W$7:$W$200,$P58))</f>
      </c>
      <c r="M58" s="204">
        <f>IF($P58="","",INDEX('_Datos'!$AC$7:$AC$200,$P58))</f>
      </c>
      <c r="P58" s="201">
        <f>IFERROR(MATCH(LARGE('_Datos'!$AJ$7:$AJ$200,ROW()-7+1),'_Datos'!$AJ$7:$AJ$200,0),"")</f>
      </c>
    </row>
    <row r="59">
      <c r="B59" s="203">
        <f>IF($P59="","",INDEX('_Datos'!$AB$7:$AB$200,$P59))</f>
      </c>
      <c r="C59" s="203">
        <f>IF($P59="","",INDEX('_Datos'!$AE$7:$AE$200,$P59))</f>
      </c>
      <c r="D59" s="204">
        <f>IF($P59="","",INDEX('_Datos'!$F$7:$F$200,$P59))</f>
      </c>
      <c r="E59" s="204">
        <f>IF($P59="","",INDEX('_Datos'!$G$7:$G$200,$P59))</f>
      </c>
      <c r="F59" s="205">
        <f>IF($P59="","",INDEX('_Datos'!$H$7:$H$200,$P59))</f>
      </c>
      <c r="G59" s="203">
        <f>IF($P59="","",INDEX('_Datos'!$J$7:$J$200,$P59))</f>
      </c>
      <c r="H59" s="207">
        <f>IF($P59="","",INDEX('_Datos'!$K$7:$K$200,$P59))</f>
      </c>
      <c r="I59" s="207">
        <f>IF($P59="","",INDEX('_Datos'!$S$7:$S$200,$P59))</f>
      </c>
      <c r="J59" s="207">
        <f>IF($P59="","",INDEX('_Datos'!$T$7:$T$200,$P59))</f>
      </c>
      <c r="K59" s="206">
        <f>IF($P59="","",INDEX('_Datos'!$V$7:$V$200,$P59))</f>
      </c>
      <c r="L59" s="207">
        <f>IF($P59="","",INDEX('_Datos'!$W$7:$W$200,$P59))</f>
      </c>
      <c r="M59" s="204">
        <f>IF($P59="","",INDEX('_Datos'!$AC$7:$AC$200,$P59))</f>
      </c>
      <c r="P59" s="201">
        <f>IFERROR(MATCH(LARGE('_Datos'!$AJ$7:$AJ$200,ROW()-7+1),'_Datos'!$AJ$7:$AJ$200,0),"")</f>
      </c>
    </row>
    <row r="60">
      <c r="B60" s="203">
        <f>IF($P60="","",INDEX('_Datos'!$AB$7:$AB$200,$P60))</f>
      </c>
      <c r="C60" s="203">
        <f>IF($P60="","",INDEX('_Datos'!$AE$7:$AE$200,$P60))</f>
      </c>
      <c r="D60" s="204">
        <f>IF($P60="","",INDEX('_Datos'!$F$7:$F$200,$P60))</f>
      </c>
      <c r="E60" s="204">
        <f>IF($P60="","",INDEX('_Datos'!$G$7:$G$200,$P60))</f>
      </c>
      <c r="F60" s="205">
        <f>IF($P60="","",INDEX('_Datos'!$H$7:$H$200,$P60))</f>
      </c>
      <c r="G60" s="203">
        <f>IF($P60="","",INDEX('_Datos'!$J$7:$J$200,$P60))</f>
      </c>
      <c r="H60" s="207">
        <f>IF($P60="","",INDEX('_Datos'!$K$7:$K$200,$P60))</f>
      </c>
      <c r="I60" s="207">
        <f>IF($P60="","",INDEX('_Datos'!$S$7:$S$200,$P60))</f>
      </c>
      <c r="J60" s="207">
        <f>IF($P60="","",INDEX('_Datos'!$T$7:$T$200,$P60))</f>
      </c>
      <c r="K60" s="206">
        <f>IF($P60="","",INDEX('_Datos'!$V$7:$V$200,$P60))</f>
      </c>
      <c r="L60" s="207">
        <f>IF($P60="","",INDEX('_Datos'!$W$7:$W$200,$P60))</f>
      </c>
      <c r="M60" s="204">
        <f>IF($P60="","",INDEX('_Datos'!$AC$7:$AC$200,$P60))</f>
      </c>
      <c r="P60" s="201">
        <f>IFERROR(MATCH(LARGE('_Datos'!$AJ$7:$AJ$200,ROW()-7+1),'_Datos'!$AJ$7:$AJ$200,0),"")</f>
      </c>
    </row>
    <row r="61">
      <c r="B61" s="203">
        <f>IF($P61="","",INDEX('_Datos'!$AB$7:$AB$200,$P61))</f>
      </c>
      <c r="C61" s="203">
        <f>IF($P61="","",INDEX('_Datos'!$AE$7:$AE$200,$P61))</f>
      </c>
      <c r="D61" s="204">
        <f>IF($P61="","",INDEX('_Datos'!$F$7:$F$200,$P61))</f>
      </c>
      <c r="E61" s="204">
        <f>IF($P61="","",INDEX('_Datos'!$G$7:$G$200,$P61))</f>
      </c>
      <c r="F61" s="205">
        <f>IF($P61="","",INDEX('_Datos'!$H$7:$H$200,$P61))</f>
      </c>
      <c r="G61" s="203">
        <f>IF($P61="","",INDEX('_Datos'!$J$7:$J$200,$P61))</f>
      </c>
      <c r="H61" s="207">
        <f>IF($P61="","",INDEX('_Datos'!$K$7:$K$200,$P61))</f>
      </c>
      <c r="I61" s="207">
        <f>IF($P61="","",INDEX('_Datos'!$S$7:$S$200,$P61))</f>
      </c>
      <c r="J61" s="207">
        <f>IF($P61="","",INDEX('_Datos'!$T$7:$T$200,$P61))</f>
      </c>
      <c r="K61" s="206">
        <f>IF($P61="","",INDEX('_Datos'!$V$7:$V$200,$P61))</f>
      </c>
      <c r="L61" s="207">
        <f>IF($P61="","",INDEX('_Datos'!$W$7:$W$200,$P61))</f>
      </c>
      <c r="M61" s="204">
        <f>IF($P61="","",INDEX('_Datos'!$AC$7:$AC$200,$P61))</f>
      </c>
      <c r="P61" s="201">
        <f>IFERROR(MATCH(LARGE('_Datos'!$AJ$7:$AJ$200,ROW()-7+1),'_Datos'!$AJ$7:$AJ$200,0),"")</f>
      </c>
    </row>
    <row r="62">
      <c r="B62" s="203">
        <f>IF($P62="","",INDEX('_Datos'!$AB$7:$AB$200,$P62))</f>
      </c>
      <c r="C62" s="203">
        <f>IF($P62="","",INDEX('_Datos'!$AE$7:$AE$200,$P62))</f>
      </c>
      <c r="D62" s="204">
        <f>IF($P62="","",INDEX('_Datos'!$F$7:$F$200,$P62))</f>
      </c>
      <c r="E62" s="204">
        <f>IF($P62="","",INDEX('_Datos'!$G$7:$G$200,$P62))</f>
      </c>
      <c r="F62" s="205">
        <f>IF($P62="","",INDEX('_Datos'!$H$7:$H$200,$P62))</f>
      </c>
      <c r="G62" s="203">
        <f>IF($P62="","",INDEX('_Datos'!$J$7:$J$200,$P62))</f>
      </c>
      <c r="H62" s="207">
        <f>IF($P62="","",INDEX('_Datos'!$K$7:$K$200,$P62))</f>
      </c>
      <c r="I62" s="207">
        <f>IF($P62="","",INDEX('_Datos'!$S$7:$S$200,$P62))</f>
      </c>
      <c r="J62" s="207">
        <f>IF($P62="","",INDEX('_Datos'!$T$7:$T$200,$P62))</f>
      </c>
      <c r="K62" s="206">
        <f>IF($P62="","",INDEX('_Datos'!$V$7:$V$200,$P62))</f>
      </c>
      <c r="L62" s="207">
        <f>IF($P62="","",INDEX('_Datos'!$W$7:$W$200,$P62))</f>
      </c>
      <c r="M62" s="204">
        <f>IF($P62="","",INDEX('_Datos'!$AC$7:$AC$200,$P62))</f>
      </c>
      <c r="P62" s="201">
        <f>IFERROR(MATCH(LARGE('_Datos'!$AJ$7:$AJ$200,ROW()-7+1),'_Datos'!$AJ$7:$AJ$200,0),"")</f>
      </c>
    </row>
    <row r="63">
      <c r="B63" s="203">
        <f>IF($P63="","",INDEX('_Datos'!$AB$7:$AB$200,$P63))</f>
      </c>
      <c r="C63" s="203">
        <f>IF($P63="","",INDEX('_Datos'!$AE$7:$AE$200,$P63))</f>
      </c>
      <c r="D63" s="204">
        <f>IF($P63="","",INDEX('_Datos'!$F$7:$F$200,$P63))</f>
      </c>
      <c r="E63" s="204">
        <f>IF($P63="","",INDEX('_Datos'!$G$7:$G$200,$P63))</f>
      </c>
      <c r="F63" s="205">
        <f>IF($P63="","",INDEX('_Datos'!$H$7:$H$200,$P63))</f>
      </c>
      <c r="G63" s="203">
        <f>IF($P63="","",INDEX('_Datos'!$J$7:$J$200,$P63))</f>
      </c>
      <c r="H63" s="207">
        <f>IF($P63="","",INDEX('_Datos'!$K$7:$K$200,$P63))</f>
      </c>
      <c r="I63" s="207">
        <f>IF($P63="","",INDEX('_Datos'!$S$7:$S$200,$P63))</f>
      </c>
      <c r="J63" s="207">
        <f>IF($P63="","",INDEX('_Datos'!$T$7:$T$200,$P63))</f>
      </c>
      <c r="K63" s="206">
        <f>IF($P63="","",INDEX('_Datos'!$V$7:$V$200,$P63))</f>
      </c>
      <c r="L63" s="207">
        <f>IF($P63="","",INDEX('_Datos'!$W$7:$W$200,$P63))</f>
      </c>
      <c r="M63" s="204">
        <f>IF($P63="","",INDEX('_Datos'!$AC$7:$AC$200,$P63))</f>
      </c>
      <c r="P63" s="201">
        <f>IFERROR(MATCH(LARGE('_Datos'!$AJ$7:$AJ$200,ROW()-7+1),'_Datos'!$AJ$7:$AJ$200,0),"")</f>
      </c>
    </row>
    <row r="64">
      <c r="B64" s="203">
        <f>IF($P64="","",INDEX('_Datos'!$AB$7:$AB$200,$P64))</f>
      </c>
      <c r="C64" s="203">
        <f>IF($P64="","",INDEX('_Datos'!$AE$7:$AE$200,$P64))</f>
      </c>
      <c r="D64" s="204">
        <f>IF($P64="","",INDEX('_Datos'!$F$7:$F$200,$P64))</f>
      </c>
      <c r="E64" s="204">
        <f>IF($P64="","",INDEX('_Datos'!$G$7:$G$200,$P64))</f>
      </c>
      <c r="F64" s="205">
        <f>IF($P64="","",INDEX('_Datos'!$H$7:$H$200,$P64))</f>
      </c>
      <c r="G64" s="203">
        <f>IF($P64="","",INDEX('_Datos'!$J$7:$J$200,$P64))</f>
      </c>
      <c r="H64" s="207">
        <f>IF($P64="","",INDEX('_Datos'!$K$7:$K$200,$P64))</f>
      </c>
      <c r="I64" s="207">
        <f>IF($P64="","",INDEX('_Datos'!$S$7:$S$200,$P64))</f>
      </c>
      <c r="J64" s="207">
        <f>IF($P64="","",INDEX('_Datos'!$T$7:$T$200,$P64))</f>
      </c>
      <c r="K64" s="206">
        <f>IF($P64="","",INDEX('_Datos'!$V$7:$V$200,$P64))</f>
      </c>
      <c r="L64" s="207">
        <f>IF($P64="","",INDEX('_Datos'!$W$7:$W$200,$P64))</f>
      </c>
      <c r="M64" s="204">
        <f>IF($P64="","",INDEX('_Datos'!$AC$7:$AC$200,$P64))</f>
      </c>
      <c r="P64" s="201">
        <f>IFERROR(MATCH(LARGE('_Datos'!$AJ$7:$AJ$200,ROW()-7+1),'_Datos'!$AJ$7:$AJ$200,0),"")</f>
      </c>
    </row>
    <row r="65">
      <c r="B65" s="203">
        <f>IF($P65="","",INDEX('_Datos'!$AB$7:$AB$200,$P65))</f>
      </c>
      <c r="C65" s="203">
        <f>IF($P65="","",INDEX('_Datos'!$AE$7:$AE$200,$P65))</f>
      </c>
      <c r="D65" s="204">
        <f>IF($P65="","",INDEX('_Datos'!$F$7:$F$200,$P65))</f>
      </c>
      <c r="E65" s="204">
        <f>IF($P65="","",INDEX('_Datos'!$G$7:$G$200,$P65))</f>
      </c>
      <c r="F65" s="205">
        <f>IF($P65="","",INDEX('_Datos'!$H$7:$H$200,$P65))</f>
      </c>
      <c r="G65" s="203">
        <f>IF($P65="","",INDEX('_Datos'!$J$7:$J$200,$P65))</f>
      </c>
      <c r="H65" s="207">
        <f>IF($P65="","",INDEX('_Datos'!$K$7:$K$200,$P65))</f>
      </c>
      <c r="I65" s="207">
        <f>IF($P65="","",INDEX('_Datos'!$S$7:$S$200,$P65))</f>
      </c>
      <c r="J65" s="207">
        <f>IF($P65="","",INDEX('_Datos'!$T$7:$T$200,$P65))</f>
      </c>
      <c r="K65" s="206">
        <f>IF($P65="","",INDEX('_Datos'!$V$7:$V$200,$P65))</f>
      </c>
      <c r="L65" s="207">
        <f>IF($P65="","",INDEX('_Datos'!$W$7:$W$200,$P65))</f>
      </c>
      <c r="M65" s="204">
        <f>IF($P65="","",INDEX('_Datos'!$AC$7:$AC$200,$P65))</f>
      </c>
      <c r="P65" s="201">
        <f>IFERROR(MATCH(LARGE('_Datos'!$AJ$7:$AJ$200,ROW()-7+1),'_Datos'!$AJ$7:$AJ$200,0),"")</f>
      </c>
    </row>
    <row r="66">
      <c r="B66" s="203">
        <f>IF($P66="","",INDEX('_Datos'!$AB$7:$AB$200,$P66))</f>
      </c>
      <c r="C66" s="203">
        <f>IF($P66="","",INDEX('_Datos'!$AE$7:$AE$200,$P66))</f>
      </c>
      <c r="D66" s="204">
        <f>IF($P66="","",INDEX('_Datos'!$F$7:$F$200,$P66))</f>
      </c>
      <c r="E66" s="204">
        <f>IF($P66="","",INDEX('_Datos'!$G$7:$G$200,$P66))</f>
      </c>
      <c r="F66" s="205">
        <f>IF($P66="","",INDEX('_Datos'!$H$7:$H$200,$P66))</f>
      </c>
      <c r="G66" s="203">
        <f>IF($P66="","",INDEX('_Datos'!$J$7:$J$200,$P66))</f>
      </c>
      <c r="H66" s="207">
        <f>IF($P66="","",INDEX('_Datos'!$K$7:$K$200,$P66))</f>
      </c>
      <c r="I66" s="207">
        <f>IF($P66="","",INDEX('_Datos'!$S$7:$S$200,$P66))</f>
      </c>
      <c r="J66" s="207">
        <f>IF($P66="","",INDEX('_Datos'!$T$7:$T$200,$P66))</f>
      </c>
      <c r="K66" s="206">
        <f>IF($P66="","",INDEX('_Datos'!$V$7:$V$200,$P66))</f>
      </c>
      <c r="L66" s="207">
        <f>IF($P66="","",INDEX('_Datos'!$W$7:$W$200,$P66))</f>
      </c>
      <c r="M66" s="204">
        <f>IF($P66="","",INDEX('_Datos'!$AC$7:$AC$200,$P66))</f>
      </c>
      <c r="P66" s="201">
        <f>IFERROR(MATCH(LARGE('_Datos'!$AJ$7:$AJ$200,ROW()-7+1),'_Datos'!$AJ$7:$AJ$200,0),"")</f>
      </c>
    </row>
    <row r="67">
      <c r="B67" s="203">
        <f>IF($P67="","",INDEX('_Datos'!$AB$7:$AB$200,$P67))</f>
      </c>
      <c r="C67" s="203">
        <f>IF($P67="","",INDEX('_Datos'!$AE$7:$AE$200,$P67))</f>
      </c>
      <c r="D67" s="204">
        <f>IF($P67="","",INDEX('_Datos'!$F$7:$F$200,$P67))</f>
      </c>
      <c r="E67" s="204">
        <f>IF($P67="","",INDEX('_Datos'!$G$7:$G$200,$P67))</f>
      </c>
      <c r="F67" s="205">
        <f>IF($P67="","",INDEX('_Datos'!$H$7:$H$200,$P67))</f>
      </c>
      <c r="G67" s="203">
        <f>IF($P67="","",INDEX('_Datos'!$J$7:$J$200,$P67))</f>
      </c>
      <c r="H67" s="207">
        <f>IF($P67="","",INDEX('_Datos'!$K$7:$K$200,$P67))</f>
      </c>
      <c r="I67" s="207">
        <f>IF($P67="","",INDEX('_Datos'!$S$7:$S$200,$P67))</f>
      </c>
      <c r="J67" s="207">
        <f>IF($P67="","",INDEX('_Datos'!$T$7:$T$200,$P67))</f>
      </c>
      <c r="K67" s="206">
        <f>IF($P67="","",INDEX('_Datos'!$V$7:$V$200,$P67))</f>
      </c>
      <c r="L67" s="207">
        <f>IF($P67="","",INDEX('_Datos'!$W$7:$W$200,$P67))</f>
      </c>
      <c r="M67" s="204">
        <f>IF($P67="","",INDEX('_Datos'!$AC$7:$AC$200,$P67))</f>
      </c>
      <c r="P67" s="201">
        <f>IFERROR(MATCH(LARGE('_Datos'!$AJ$7:$AJ$200,ROW()-7+1),'_Datos'!$AJ$7:$AJ$200,0),"")</f>
      </c>
    </row>
    <row r="68">
      <c r="B68" s="203">
        <f>IF($P68="","",INDEX('_Datos'!$AB$7:$AB$200,$P68))</f>
      </c>
      <c r="C68" s="203">
        <f>IF($P68="","",INDEX('_Datos'!$AE$7:$AE$200,$P68))</f>
      </c>
      <c r="D68" s="204">
        <f>IF($P68="","",INDEX('_Datos'!$F$7:$F$200,$P68))</f>
      </c>
      <c r="E68" s="204">
        <f>IF($P68="","",INDEX('_Datos'!$G$7:$G$200,$P68))</f>
      </c>
      <c r="F68" s="205">
        <f>IF($P68="","",INDEX('_Datos'!$H$7:$H$200,$P68))</f>
      </c>
      <c r="G68" s="203">
        <f>IF($P68="","",INDEX('_Datos'!$J$7:$J$200,$P68))</f>
      </c>
      <c r="H68" s="207">
        <f>IF($P68="","",INDEX('_Datos'!$K$7:$K$200,$P68))</f>
      </c>
      <c r="I68" s="207">
        <f>IF($P68="","",INDEX('_Datos'!$S$7:$S$200,$P68))</f>
      </c>
      <c r="J68" s="207">
        <f>IF($P68="","",INDEX('_Datos'!$T$7:$T$200,$P68))</f>
      </c>
      <c r="K68" s="206">
        <f>IF($P68="","",INDEX('_Datos'!$V$7:$V$200,$P68))</f>
      </c>
      <c r="L68" s="207">
        <f>IF($P68="","",INDEX('_Datos'!$W$7:$W$200,$P68))</f>
      </c>
      <c r="M68" s="204">
        <f>IF($P68="","",INDEX('_Datos'!$AC$7:$AC$200,$P68))</f>
      </c>
      <c r="P68" s="201">
        <f>IFERROR(MATCH(LARGE('_Datos'!$AJ$7:$AJ$200,ROW()-7+1),'_Datos'!$AJ$7:$AJ$200,0),"")</f>
      </c>
    </row>
    <row r="69">
      <c r="B69" s="203">
        <f>IF($P69="","",INDEX('_Datos'!$AB$7:$AB$200,$P69))</f>
      </c>
      <c r="C69" s="203">
        <f>IF($P69="","",INDEX('_Datos'!$AE$7:$AE$200,$P69))</f>
      </c>
      <c r="D69" s="204">
        <f>IF($P69="","",INDEX('_Datos'!$F$7:$F$200,$P69))</f>
      </c>
      <c r="E69" s="204">
        <f>IF($P69="","",INDEX('_Datos'!$G$7:$G$200,$P69))</f>
      </c>
      <c r="F69" s="205">
        <f>IF($P69="","",INDEX('_Datos'!$H$7:$H$200,$P69))</f>
      </c>
      <c r="G69" s="203">
        <f>IF($P69="","",INDEX('_Datos'!$J$7:$J$200,$P69))</f>
      </c>
      <c r="H69" s="207">
        <f>IF($P69="","",INDEX('_Datos'!$K$7:$K$200,$P69))</f>
      </c>
      <c r="I69" s="207">
        <f>IF($P69="","",INDEX('_Datos'!$S$7:$S$200,$P69))</f>
      </c>
      <c r="J69" s="207">
        <f>IF($P69="","",INDEX('_Datos'!$T$7:$T$200,$P69))</f>
      </c>
      <c r="K69" s="206">
        <f>IF($P69="","",INDEX('_Datos'!$V$7:$V$200,$P69))</f>
      </c>
      <c r="L69" s="207">
        <f>IF($P69="","",INDEX('_Datos'!$W$7:$W$200,$P69))</f>
      </c>
      <c r="M69" s="204">
        <f>IF($P69="","",INDEX('_Datos'!$AC$7:$AC$200,$P69))</f>
      </c>
      <c r="P69" s="201">
        <f>IFERROR(MATCH(LARGE('_Datos'!$AJ$7:$AJ$200,ROW()-7+1),'_Datos'!$AJ$7:$AJ$200,0),"")</f>
      </c>
    </row>
    <row r="70">
      <c r="B70" s="203">
        <f>IF($P70="","",INDEX('_Datos'!$AB$7:$AB$200,$P70))</f>
      </c>
      <c r="C70" s="203">
        <f>IF($P70="","",INDEX('_Datos'!$AE$7:$AE$200,$P70))</f>
      </c>
      <c r="D70" s="204">
        <f>IF($P70="","",INDEX('_Datos'!$F$7:$F$200,$P70))</f>
      </c>
      <c r="E70" s="204">
        <f>IF($P70="","",INDEX('_Datos'!$G$7:$G$200,$P70))</f>
      </c>
      <c r="F70" s="205">
        <f>IF($P70="","",INDEX('_Datos'!$H$7:$H$200,$P70))</f>
      </c>
      <c r="G70" s="203">
        <f>IF($P70="","",INDEX('_Datos'!$J$7:$J$200,$P70))</f>
      </c>
      <c r="H70" s="207">
        <f>IF($P70="","",INDEX('_Datos'!$K$7:$K$200,$P70))</f>
      </c>
      <c r="I70" s="207">
        <f>IF($P70="","",INDEX('_Datos'!$S$7:$S$200,$P70))</f>
      </c>
      <c r="J70" s="207">
        <f>IF($P70="","",INDEX('_Datos'!$T$7:$T$200,$P70))</f>
      </c>
      <c r="K70" s="206">
        <f>IF($P70="","",INDEX('_Datos'!$V$7:$V$200,$P70))</f>
      </c>
      <c r="L70" s="207">
        <f>IF($P70="","",INDEX('_Datos'!$W$7:$W$200,$P70))</f>
      </c>
      <c r="M70" s="204">
        <f>IF($P70="","",INDEX('_Datos'!$AC$7:$AC$200,$P70))</f>
      </c>
      <c r="P70" s="201">
        <f>IFERROR(MATCH(LARGE('_Datos'!$AJ$7:$AJ$200,ROW()-7+1),'_Datos'!$AJ$7:$AJ$200,0),"")</f>
      </c>
    </row>
    <row r="71">
      <c r="B71" s="203">
        <f>IF($P71="","",INDEX('_Datos'!$AB$7:$AB$200,$P71))</f>
      </c>
      <c r="C71" s="203">
        <f>IF($P71="","",INDEX('_Datos'!$AE$7:$AE$200,$P71))</f>
      </c>
      <c r="D71" s="204">
        <f>IF($P71="","",INDEX('_Datos'!$F$7:$F$200,$P71))</f>
      </c>
      <c r="E71" s="204">
        <f>IF($P71="","",INDEX('_Datos'!$G$7:$G$200,$P71))</f>
      </c>
      <c r="F71" s="205">
        <f>IF($P71="","",INDEX('_Datos'!$H$7:$H$200,$P71))</f>
      </c>
      <c r="G71" s="203">
        <f>IF($P71="","",INDEX('_Datos'!$J$7:$J$200,$P71))</f>
      </c>
      <c r="H71" s="207">
        <f>IF($P71="","",INDEX('_Datos'!$K$7:$K$200,$P71))</f>
      </c>
      <c r="I71" s="207">
        <f>IF($P71="","",INDEX('_Datos'!$S$7:$S$200,$P71))</f>
      </c>
      <c r="J71" s="207">
        <f>IF($P71="","",INDEX('_Datos'!$T$7:$T$200,$P71))</f>
      </c>
      <c r="K71" s="206">
        <f>IF($P71="","",INDEX('_Datos'!$V$7:$V$200,$P71))</f>
      </c>
      <c r="L71" s="207">
        <f>IF($P71="","",INDEX('_Datos'!$W$7:$W$200,$P71))</f>
      </c>
      <c r="M71" s="204">
        <f>IF($P71="","",INDEX('_Datos'!$AC$7:$AC$200,$P71))</f>
      </c>
      <c r="P71" s="201">
        <f>IFERROR(MATCH(LARGE('_Datos'!$AJ$7:$AJ$200,ROW()-7+1),'_Datos'!$AJ$7:$AJ$200,0),"")</f>
      </c>
    </row>
    <row r="72">
      <c r="B72" s="203">
        <f>IF($P72="","",INDEX('_Datos'!$AB$7:$AB$200,$P72))</f>
      </c>
      <c r="C72" s="203">
        <f>IF($P72="","",INDEX('_Datos'!$AE$7:$AE$200,$P72))</f>
      </c>
      <c r="D72" s="204">
        <f>IF($P72="","",INDEX('_Datos'!$F$7:$F$200,$P72))</f>
      </c>
      <c r="E72" s="204">
        <f>IF($P72="","",INDEX('_Datos'!$G$7:$G$200,$P72))</f>
      </c>
      <c r="F72" s="205">
        <f>IF($P72="","",INDEX('_Datos'!$H$7:$H$200,$P72))</f>
      </c>
      <c r="G72" s="203">
        <f>IF($P72="","",INDEX('_Datos'!$J$7:$J$200,$P72))</f>
      </c>
      <c r="H72" s="207">
        <f>IF($P72="","",INDEX('_Datos'!$K$7:$K$200,$P72))</f>
      </c>
      <c r="I72" s="207">
        <f>IF($P72="","",INDEX('_Datos'!$S$7:$S$200,$P72))</f>
      </c>
      <c r="J72" s="207">
        <f>IF($P72="","",INDEX('_Datos'!$T$7:$T$200,$P72))</f>
      </c>
      <c r="K72" s="206">
        <f>IF($P72="","",INDEX('_Datos'!$V$7:$V$200,$P72))</f>
      </c>
      <c r="L72" s="207">
        <f>IF($P72="","",INDEX('_Datos'!$W$7:$W$200,$P72))</f>
      </c>
      <c r="M72" s="204">
        <f>IF($P72="","",INDEX('_Datos'!$AC$7:$AC$200,$P72))</f>
      </c>
      <c r="P72" s="201">
        <f>IFERROR(MATCH(LARGE('_Datos'!$AJ$7:$AJ$200,ROW()-7+1),'_Datos'!$AJ$7:$AJ$200,0),"")</f>
      </c>
    </row>
    <row r="73">
      <c r="B73" s="203">
        <f>IF($P73="","",INDEX('_Datos'!$AB$7:$AB$200,$P73))</f>
      </c>
      <c r="C73" s="203">
        <f>IF($P73="","",INDEX('_Datos'!$AE$7:$AE$200,$P73))</f>
      </c>
      <c r="D73" s="204">
        <f>IF($P73="","",INDEX('_Datos'!$F$7:$F$200,$P73))</f>
      </c>
      <c r="E73" s="204">
        <f>IF($P73="","",INDEX('_Datos'!$G$7:$G$200,$P73))</f>
      </c>
      <c r="F73" s="205">
        <f>IF($P73="","",INDEX('_Datos'!$H$7:$H$200,$P73))</f>
      </c>
      <c r="G73" s="203">
        <f>IF($P73="","",INDEX('_Datos'!$J$7:$J$200,$P73))</f>
      </c>
      <c r="H73" s="207">
        <f>IF($P73="","",INDEX('_Datos'!$K$7:$K$200,$P73))</f>
      </c>
      <c r="I73" s="207">
        <f>IF($P73="","",INDEX('_Datos'!$S$7:$S$200,$P73))</f>
      </c>
      <c r="J73" s="207">
        <f>IF($P73="","",INDEX('_Datos'!$T$7:$T$200,$P73))</f>
      </c>
      <c r="K73" s="206">
        <f>IF($P73="","",INDEX('_Datos'!$V$7:$V$200,$P73))</f>
      </c>
      <c r="L73" s="207">
        <f>IF($P73="","",INDEX('_Datos'!$W$7:$W$200,$P73))</f>
      </c>
      <c r="M73" s="204">
        <f>IF($P73="","",INDEX('_Datos'!$AC$7:$AC$200,$P73))</f>
      </c>
      <c r="P73" s="201">
        <f>IFERROR(MATCH(LARGE('_Datos'!$AJ$7:$AJ$200,ROW()-7+1),'_Datos'!$AJ$7:$AJ$200,0),"")</f>
      </c>
    </row>
    <row r="74">
      <c r="B74" s="203">
        <f>IF($P74="","",INDEX('_Datos'!$AB$7:$AB$200,$P74))</f>
      </c>
      <c r="C74" s="203">
        <f>IF($P74="","",INDEX('_Datos'!$AE$7:$AE$200,$P74))</f>
      </c>
      <c r="D74" s="204">
        <f>IF($P74="","",INDEX('_Datos'!$F$7:$F$200,$P74))</f>
      </c>
      <c r="E74" s="204">
        <f>IF($P74="","",INDEX('_Datos'!$G$7:$G$200,$P74))</f>
      </c>
      <c r="F74" s="205">
        <f>IF($P74="","",INDEX('_Datos'!$H$7:$H$200,$P74))</f>
      </c>
      <c r="G74" s="203">
        <f>IF($P74="","",INDEX('_Datos'!$J$7:$J$200,$P74))</f>
      </c>
      <c r="H74" s="207">
        <f>IF($P74="","",INDEX('_Datos'!$K$7:$K$200,$P74))</f>
      </c>
      <c r="I74" s="207">
        <f>IF($P74="","",INDEX('_Datos'!$S$7:$S$200,$P74))</f>
      </c>
      <c r="J74" s="207">
        <f>IF($P74="","",INDEX('_Datos'!$T$7:$T$200,$P74))</f>
      </c>
      <c r="K74" s="206">
        <f>IF($P74="","",INDEX('_Datos'!$V$7:$V$200,$P74))</f>
      </c>
      <c r="L74" s="207">
        <f>IF($P74="","",INDEX('_Datos'!$W$7:$W$200,$P74))</f>
      </c>
      <c r="M74" s="204">
        <f>IF($P74="","",INDEX('_Datos'!$AC$7:$AC$200,$P74))</f>
      </c>
      <c r="P74" s="201">
        <f>IFERROR(MATCH(LARGE('_Datos'!$AJ$7:$AJ$200,ROW()-7+1),'_Datos'!$AJ$7:$AJ$200,0),"")</f>
      </c>
    </row>
    <row r="75">
      <c r="B75" s="203">
        <f>IF($P75="","",INDEX('_Datos'!$AB$7:$AB$200,$P75))</f>
      </c>
      <c r="C75" s="203">
        <f>IF($P75="","",INDEX('_Datos'!$AE$7:$AE$200,$P75))</f>
      </c>
      <c r="D75" s="204">
        <f>IF($P75="","",INDEX('_Datos'!$F$7:$F$200,$P75))</f>
      </c>
      <c r="E75" s="204">
        <f>IF($P75="","",INDEX('_Datos'!$G$7:$G$200,$P75))</f>
      </c>
      <c r="F75" s="205">
        <f>IF($P75="","",INDEX('_Datos'!$H$7:$H$200,$P75))</f>
      </c>
      <c r="G75" s="203">
        <f>IF($P75="","",INDEX('_Datos'!$J$7:$J$200,$P75))</f>
      </c>
      <c r="H75" s="207">
        <f>IF($P75="","",INDEX('_Datos'!$K$7:$K$200,$P75))</f>
      </c>
      <c r="I75" s="207">
        <f>IF($P75="","",INDEX('_Datos'!$S$7:$S$200,$P75))</f>
      </c>
      <c r="J75" s="207">
        <f>IF($P75="","",INDEX('_Datos'!$T$7:$T$200,$P75))</f>
      </c>
      <c r="K75" s="206">
        <f>IF($P75="","",INDEX('_Datos'!$V$7:$V$200,$P75))</f>
      </c>
      <c r="L75" s="207">
        <f>IF($P75="","",INDEX('_Datos'!$W$7:$W$200,$P75))</f>
      </c>
      <c r="M75" s="204">
        <f>IF($P75="","",INDEX('_Datos'!$AC$7:$AC$200,$P75))</f>
      </c>
      <c r="P75" s="201">
        <f>IFERROR(MATCH(LARGE('_Datos'!$AJ$7:$AJ$200,ROW()-7+1),'_Datos'!$AJ$7:$AJ$200,0),"")</f>
      </c>
    </row>
    <row r="76">
      <c r="B76" s="203">
        <f>IF($P76="","",INDEX('_Datos'!$AB$7:$AB$200,$P76))</f>
      </c>
      <c r="C76" s="203">
        <f>IF($P76="","",INDEX('_Datos'!$AE$7:$AE$200,$P76))</f>
      </c>
      <c r="D76" s="204">
        <f>IF($P76="","",INDEX('_Datos'!$F$7:$F$200,$P76))</f>
      </c>
      <c r="E76" s="204">
        <f>IF($P76="","",INDEX('_Datos'!$G$7:$G$200,$P76))</f>
      </c>
      <c r="F76" s="205">
        <f>IF($P76="","",INDEX('_Datos'!$H$7:$H$200,$P76))</f>
      </c>
      <c r="G76" s="203">
        <f>IF($P76="","",INDEX('_Datos'!$J$7:$J$200,$P76))</f>
      </c>
      <c r="H76" s="207">
        <f>IF($P76="","",INDEX('_Datos'!$K$7:$K$200,$P76))</f>
      </c>
      <c r="I76" s="207">
        <f>IF($P76="","",INDEX('_Datos'!$S$7:$S$200,$P76))</f>
      </c>
      <c r="J76" s="207">
        <f>IF($P76="","",INDEX('_Datos'!$T$7:$T$200,$P76))</f>
      </c>
      <c r="K76" s="206">
        <f>IF($P76="","",INDEX('_Datos'!$V$7:$V$200,$P76))</f>
      </c>
      <c r="L76" s="207">
        <f>IF($P76="","",INDEX('_Datos'!$W$7:$W$200,$P76))</f>
      </c>
      <c r="M76" s="204">
        <f>IF($P76="","",INDEX('_Datos'!$AC$7:$AC$200,$P76))</f>
      </c>
      <c r="P76" s="201">
        <f>IFERROR(MATCH(LARGE('_Datos'!$AJ$7:$AJ$200,ROW()-7+1),'_Datos'!$AJ$7:$AJ$200,0),"")</f>
      </c>
    </row>
    <row r="77">
      <c r="B77" s="203">
        <f>IF($P77="","",INDEX('_Datos'!$AB$7:$AB$200,$P77))</f>
      </c>
      <c r="C77" s="203">
        <f>IF($P77="","",INDEX('_Datos'!$AE$7:$AE$200,$P77))</f>
      </c>
      <c r="D77" s="204">
        <f>IF($P77="","",INDEX('_Datos'!$F$7:$F$200,$P77))</f>
      </c>
      <c r="E77" s="204">
        <f>IF($P77="","",INDEX('_Datos'!$G$7:$G$200,$P77))</f>
      </c>
      <c r="F77" s="205">
        <f>IF($P77="","",INDEX('_Datos'!$H$7:$H$200,$P77))</f>
      </c>
      <c r="G77" s="203">
        <f>IF($P77="","",INDEX('_Datos'!$J$7:$J$200,$P77))</f>
      </c>
      <c r="H77" s="207">
        <f>IF($P77="","",INDEX('_Datos'!$K$7:$K$200,$P77))</f>
      </c>
      <c r="I77" s="207">
        <f>IF($P77="","",INDEX('_Datos'!$S$7:$S$200,$P77))</f>
      </c>
      <c r="J77" s="207">
        <f>IF($P77="","",INDEX('_Datos'!$T$7:$T$200,$P77))</f>
      </c>
      <c r="K77" s="206">
        <f>IF($P77="","",INDEX('_Datos'!$V$7:$V$200,$P77))</f>
      </c>
      <c r="L77" s="207">
        <f>IF($P77="","",INDEX('_Datos'!$W$7:$W$200,$P77))</f>
      </c>
      <c r="M77" s="204">
        <f>IF($P77="","",INDEX('_Datos'!$AC$7:$AC$200,$P77))</f>
      </c>
      <c r="P77" s="201">
        <f>IFERROR(MATCH(LARGE('_Datos'!$AJ$7:$AJ$200,ROW()-7+1),'_Datos'!$AJ$7:$AJ$200,0),"")</f>
      </c>
    </row>
    <row r="78">
      <c r="B78" s="203">
        <f>IF($P78="","",INDEX('_Datos'!$AB$7:$AB$200,$P78))</f>
      </c>
      <c r="C78" s="203">
        <f>IF($P78="","",INDEX('_Datos'!$AE$7:$AE$200,$P78))</f>
      </c>
      <c r="D78" s="204">
        <f>IF($P78="","",INDEX('_Datos'!$F$7:$F$200,$P78))</f>
      </c>
      <c r="E78" s="204">
        <f>IF($P78="","",INDEX('_Datos'!$G$7:$G$200,$P78))</f>
      </c>
      <c r="F78" s="205">
        <f>IF($P78="","",INDEX('_Datos'!$H$7:$H$200,$P78))</f>
      </c>
      <c r="G78" s="203">
        <f>IF($P78="","",INDEX('_Datos'!$J$7:$J$200,$P78))</f>
      </c>
      <c r="H78" s="207">
        <f>IF($P78="","",INDEX('_Datos'!$K$7:$K$200,$P78))</f>
      </c>
      <c r="I78" s="207">
        <f>IF($P78="","",INDEX('_Datos'!$S$7:$S$200,$P78))</f>
      </c>
      <c r="J78" s="207">
        <f>IF($P78="","",INDEX('_Datos'!$T$7:$T$200,$P78))</f>
      </c>
      <c r="K78" s="206">
        <f>IF($P78="","",INDEX('_Datos'!$V$7:$V$200,$P78))</f>
      </c>
      <c r="L78" s="207">
        <f>IF($P78="","",INDEX('_Datos'!$W$7:$W$200,$P78))</f>
      </c>
      <c r="M78" s="204">
        <f>IF($P78="","",INDEX('_Datos'!$AC$7:$AC$200,$P78))</f>
      </c>
      <c r="P78" s="201">
        <f>IFERROR(MATCH(LARGE('_Datos'!$AJ$7:$AJ$200,ROW()-7+1),'_Datos'!$AJ$7:$AJ$200,0),"")</f>
      </c>
    </row>
    <row r="79">
      <c r="B79" s="203">
        <f>IF($P79="","",INDEX('_Datos'!$AB$7:$AB$200,$P79))</f>
      </c>
      <c r="C79" s="203">
        <f>IF($P79="","",INDEX('_Datos'!$AE$7:$AE$200,$P79))</f>
      </c>
      <c r="D79" s="204">
        <f>IF($P79="","",INDEX('_Datos'!$F$7:$F$200,$P79))</f>
      </c>
      <c r="E79" s="204">
        <f>IF($P79="","",INDEX('_Datos'!$G$7:$G$200,$P79))</f>
      </c>
      <c r="F79" s="205">
        <f>IF($P79="","",INDEX('_Datos'!$H$7:$H$200,$P79))</f>
      </c>
      <c r="G79" s="203">
        <f>IF($P79="","",INDEX('_Datos'!$J$7:$J$200,$P79))</f>
      </c>
      <c r="H79" s="207">
        <f>IF($P79="","",INDEX('_Datos'!$K$7:$K$200,$P79))</f>
      </c>
      <c r="I79" s="207">
        <f>IF($P79="","",INDEX('_Datos'!$S$7:$S$200,$P79))</f>
      </c>
      <c r="J79" s="207">
        <f>IF($P79="","",INDEX('_Datos'!$T$7:$T$200,$P79))</f>
      </c>
      <c r="K79" s="206">
        <f>IF($P79="","",INDEX('_Datos'!$V$7:$V$200,$P79))</f>
      </c>
      <c r="L79" s="207">
        <f>IF($P79="","",INDEX('_Datos'!$W$7:$W$200,$P79))</f>
      </c>
      <c r="M79" s="204">
        <f>IF($P79="","",INDEX('_Datos'!$AC$7:$AC$200,$P79))</f>
      </c>
      <c r="P79" s="201">
        <f>IFERROR(MATCH(LARGE('_Datos'!$AJ$7:$AJ$200,ROW()-7+1),'_Datos'!$AJ$7:$AJ$200,0),"")</f>
      </c>
    </row>
    <row r="80">
      <c r="B80" s="203">
        <f>IF($P80="","",INDEX('_Datos'!$AB$7:$AB$200,$P80))</f>
      </c>
      <c r="C80" s="203">
        <f>IF($P80="","",INDEX('_Datos'!$AE$7:$AE$200,$P80))</f>
      </c>
      <c r="D80" s="204">
        <f>IF($P80="","",INDEX('_Datos'!$F$7:$F$200,$P80))</f>
      </c>
      <c r="E80" s="204">
        <f>IF($P80="","",INDEX('_Datos'!$G$7:$G$200,$P80))</f>
      </c>
      <c r="F80" s="205">
        <f>IF($P80="","",INDEX('_Datos'!$H$7:$H$200,$P80))</f>
      </c>
      <c r="G80" s="203">
        <f>IF($P80="","",INDEX('_Datos'!$J$7:$J$200,$P80))</f>
      </c>
      <c r="H80" s="207">
        <f>IF($P80="","",INDEX('_Datos'!$K$7:$K$200,$P80))</f>
      </c>
      <c r="I80" s="207">
        <f>IF($P80="","",INDEX('_Datos'!$S$7:$S$200,$P80))</f>
      </c>
      <c r="J80" s="207">
        <f>IF($P80="","",INDEX('_Datos'!$T$7:$T$200,$P80))</f>
      </c>
      <c r="K80" s="206">
        <f>IF($P80="","",INDEX('_Datos'!$V$7:$V$200,$P80))</f>
      </c>
      <c r="L80" s="207">
        <f>IF($P80="","",INDEX('_Datos'!$W$7:$W$200,$P80))</f>
      </c>
      <c r="M80" s="204">
        <f>IF($P80="","",INDEX('_Datos'!$AC$7:$AC$200,$P80))</f>
      </c>
      <c r="P80" s="201">
        <f>IFERROR(MATCH(LARGE('_Datos'!$AJ$7:$AJ$200,ROW()-7+1),'_Datos'!$AJ$7:$AJ$200,0),"")</f>
      </c>
    </row>
    <row r="81">
      <c r="B81" s="203">
        <f>IF($P81="","",INDEX('_Datos'!$AB$7:$AB$200,$P81))</f>
      </c>
      <c r="C81" s="203">
        <f>IF($P81="","",INDEX('_Datos'!$AE$7:$AE$200,$P81))</f>
      </c>
      <c r="D81" s="204">
        <f>IF($P81="","",INDEX('_Datos'!$F$7:$F$200,$P81))</f>
      </c>
      <c r="E81" s="204">
        <f>IF($P81="","",INDEX('_Datos'!$G$7:$G$200,$P81))</f>
      </c>
      <c r="F81" s="205">
        <f>IF($P81="","",INDEX('_Datos'!$H$7:$H$200,$P81))</f>
      </c>
      <c r="G81" s="203">
        <f>IF($P81="","",INDEX('_Datos'!$J$7:$J$200,$P81))</f>
      </c>
      <c r="H81" s="207">
        <f>IF($P81="","",INDEX('_Datos'!$K$7:$K$200,$P81))</f>
      </c>
      <c r="I81" s="207">
        <f>IF($P81="","",INDEX('_Datos'!$S$7:$S$200,$P81))</f>
      </c>
      <c r="J81" s="207">
        <f>IF($P81="","",INDEX('_Datos'!$T$7:$T$200,$P81))</f>
      </c>
      <c r="K81" s="206">
        <f>IF($P81="","",INDEX('_Datos'!$V$7:$V$200,$P81))</f>
      </c>
      <c r="L81" s="207">
        <f>IF($P81="","",INDEX('_Datos'!$W$7:$W$200,$P81))</f>
      </c>
      <c r="M81" s="204">
        <f>IF($P81="","",INDEX('_Datos'!$AC$7:$AC$200,$P81))</f>
      </c>
      <c r="P81" s="201">
        <f>IFERROR(MATCH(LARGE('_Datos'!$AJ$7:$AJ$200,ROW()-7+1),'_Datos'!$AJ$7:$AJ$200,0),"")</f>
      </c>
    </row>
    <row r="82">
      <c r="B82" s="203">
        <f>IF($P82="","",INDEX('_Datos'!$AB$7:$AB$200,$P82))</f>
      </c>
      <c r="C82" s="203">
        <f>IF($P82="","",INDEX('_Datos'!$AE$7:$AE$200,$P82))</f>
      </c>
      <c r="D82" s="204">
        <f>IF($P82="","",INDEX('_Datos'!$F$7:$F$200,$P82))</f>
      </c>
      <c r="E82" s="204">
        <f>IF($P82="","",INDEX('_Datos'!$G$7:$G$200,$P82))</f>
      </c>
      <c r="F82" s="205">
        <f>IF($P82="","",INDEX('_Datos'!$H$7:$H$200,$P82))</f>
      </c>
      <c r="G82" s="203">
        <f>IF($P82="","",INDEX('_Datos'!$J$7:$J$200,$P82))</f>
      </c>
      <c r="H82" s="207">
        <f>IF($P82="","",INDEX('_Datos'!$K$7:$K$200,$P82))</f>
      </c>
      <c r="I82" s="207">
        <f>IF($P82="","",INDEX('_Datos'!$S$7:$S$200,$P82))</f>
      </c>
      <c r="J82" s="207">
        <f>IF($P82="","",INDEX('_Datos'!$T$7:$T$200,$P82))</f>
      </c>
      <c r="K82" s="206">
        <f>IF($P82="","",INDEX('_Datos'!$V$7:$V$200,$P82))</f>
      </c>
      <c r="L82" s="207">
        <f>IF($P82="","",INDEX('_Datos'!$W$7:$W$200,$P82))</f>
      </c>
      <c r="M82" s="204">
        <f>IF($P82="","",INDEX('_Datos'!$AC$7:$AC$200,$P82))</f>
      </c>
      <c r="P82" s="201">
        <f>IFERROR(MATCH(LARGE('_Datos'!$AJ$7:$AJ$200,ROW()-7+1),'_Datos'!$AJ$7:$AJ$200,0),"")</f>
      </c>
    </row>
    <row r="83">
      <c r="B83" s="203">
        <f>IF($P83="","",INDEX('_Datos'!$AB$7:$AB$200,$P83))</f>
      </c>
      <c r="C83" s="203">
        <f>IF($P83="","",INDEX('_Datos'!$AE$7:$AE$200,$P83))</f>
      </c>
      <c r="D83" s="204">
        <f>IF($P83="","",INDEX('_Datos'!$F$7:$F$200,$P83))</f>
      </c>
      <c r="E83" s="204">
        <f>IF($P83="","",INDEX('_Datos'!$G$7:$G$200,$P83))</f>
      </c>
      <c r="F83" s="205">
        <f>IF($P83="","",INDEX('_Datos'!$H$7:$H$200,$P83))</f>
      </c>
      <c r="G83" s="203">
        <f>IF($P83="","",INDEX('_Datos'!$J$7:$J$200,$P83))</f>
      </c>
      <c r="H83" s="207">
        <f>IF($P83="","",INDEX('_Datos'!$K$7:$K$200,$P83))</f>
      </c>
      <c r="I83" s="207">
        <f>IF($P83="","",INDEX('_Datos'!$S$7:$S$200,$P83))</f>
      </c>
      <c r="J83" s="207">
        <f>IF($P83="","",INDEX('_Datos'!$T$7:$T$200,$P83))</f>
      </c>
      <c r="K83" s="206">
        <f>IF($P83="","",INDEX('_Datos'!$V$7:$V$200,$P83))</f>
      </c>
      <c r="L83" s="207">
        <f>IF($P83="","",INDEX('_Datos'!$W$7:$W$200,$P83))</f>
      </c>
      <c r="M83" s="204">
        <f>IF($P83="","",INDEX('_Datos'!$AC$7:$AC$200,$P83))</f>
      </c>
      <c r="P83" s="201">
        <f>IFERROR(MATCH(LARGE('_Datos'!$AJ$7:$AJ$200,ROW()-7+1),'_Datos'!$AJ$7:$AJ$200,0),"")</f>
      </c>
    </row>
    <row r="84">
      <c r="B84" s="203">
        <f>IF($P84="","",INDEX('_Datos'!$AB$7:$AB$200,$P84))</f>
      </c>
      <c r="C84" s="203">
        <f>IF($P84="","",INDEX('_Datos'!$AE$7:$AE$200,$P84))</f>
      </c>
      <c r="D84" s="204">
        <f>IF($P84="","",INDEX('_Datos'!$F$7:$F$200,$P84))</f>
      </c>
      <c r="E84" s="204">
        <f>IF($P84="","",INDEX('_Datos'!$G$7:$G$200,$P84))</f>
      </c>
      <c r="F84" s="205">
        <f>IF($P84="","",INDEX('_Datos'!$H$7:$H$200,$P84))</f>
      </c>
      <c r="G84" s="203">
        <f>IF($P84="","",INDEX('_Datos'!$J$7:$J$200,$P84))</f>
      </c>
      <c r="H84" s="207">
        <f>IF($P84="","",INDEX('_Datos'!$K$7:$K$200,$P84))</f>
      </c>
      <c r="I84" s="207">
        <f>IF($P84="","",INDEX('_Datos'!$S$7:$S$200,$P84))</f>
      </c>
      <c r="J84" s="207">
        <f>IF($P84="","",INDEX('_Datos'!$T$7:$T$200,$P84))</f>
      </c>
      <c r="K84" s="206">
        <f>IF($P84="","",INDEX('_Datos'!$V$7:$V$200,$P84))</f>
      </c>
      <c r="L84" s="207">
        <f>IF($P84="","",INDEX('_Datos'!$W$7:$W$200,$P84))</f>
      </c>
      <c r="M84" s="204">
        <f>IF($P84="","",INDEX('_Datos'!$AC$7:$AC$200,$P84))</f>
      </c>
      <c r="P84" s="201">
        <f>IFERROR(MATCH(LARGE('_Datos'!$AJ$7:$AJ$200,ROW()-7+1),'_Datos'!$AJ$7:$AJ$200,0),"")</f>
      </c>
    </row>
    <row r="85">
      <c r="B85" s="203">
        <f>IF($P85="","",INDEX('_Datos'!$AB$7:$AB$200,$P85))</f>
      </c>
      <c r="C85" s="203">
        <f>IF($P85="","",INDEX('_Datos'!$AE$7:$AE$200,$P85))</f>
      </c>
      <c r="D85" s="204">
        <f>IF($P85="","",INDEX('_Datos'!$F$7:$F$200,$P85))</f>
      </c>
      <c r="E85" s="204">
        <f>IF($P85="","",INDEX('_Datos'!$G$7:$G$200,$P85))</f>
      </c>
      <c r="F85" s="205">
        <f>IF($P85="","",INDEX('_Datos'!$H$7:$H$200,$P85))</f>
      </c>
      <c r="G85" s="203">
        <f>IF($P85="","",INDEX('_Datos'!$J$7:$J$200,$P85))</f>
      </c>
      <c r="H85" s="207">
        <f>IF($P85="","",INDEX('_Datos'!$K$7:$K$200,$P85))</f>
      </c>
      <c r="I85" s="207">
        <f>IF($P85="","",INDEX('_Datos'!$S$7:$S$200,$P85))</f>
      </c>
      <c r="J85" s="207">
        <f>IF($P85="","",INDEX('_Datos'!$T$7:$T$200,$P85))</f>
      </c>
      <c r="K85" s="206">
        <f>IF($P85="","",INDEX('_Datos'!$V$7:$V$200,$P85))</f>
      </c>
      <c r="L85" s="207">
        <f>IF($P85="","",INDEX('_Datos'!$W$7:$W$200,$P85))</f>
      </c>
      <c r="M85" s="204">
        <f>IF($P85="","",INDEX('_Datos'!$AC$7:$AC$200,$P85))</f>
      </c>
      <c r="P85" s="201">
        <f>IFERROR(MATCH(LARGE('_Datos'!$AJ$7:$AJ$200,ROW()-7+1),'_Datos'!$AJ$7:$AJ$200,0),"")</f>
      </c>
    </row>
    <row r="86">
      <c r="B86" s="203">
        <f>IF($P86="","",INDEX('_Datos'!$AB$7:$AB$200,$P86))</f>
      </c>
      <c r="C86" s="203">
        <f>IF($P86="","",INDEX('_Datos'!$AE$7:$AE$200,$P86))</f>
      </c>
      <c r="D86" s="204">
        <f>IF($P86="","",INDEX('_Datos'!$F$7:$F$200,$P86))</f>
      </c>
      <c r="E86" s="204">
        <f>IF($P86="","",INDEX('_Datos'!$G$7:$G$200,$P86))</f>
      </c>
      <c r="F86" s="205">
        <f>IF($P86="","",INDEX('_Datos'!$H$7:$H$200,$P86))</f>
      </c>
      <c r="G86" s="203">
        <f>IF($P86="","",INDEX('_Datos'!$J$7:$J$200,$P86))</f>
      </c>
      <c r="H86" s="207">
        <f>IF($P86="","",INDEX('_Datos'!$K$7:$K$200,$P86))</f>
      </c>
      <c r="I86" s="207">
        <f>IF($P86="","",INDEX('_Datos'!$S$7:$S$200,$P86))</f>
      </c>
      <c r="J86" s="207">
        <f>IF($P86="","",INDEX('_Datos'!$T$7:$T$200,$P86))</f>
      </c>
      <c r="K86" s="206">
        <f>IF($P86="","",INDEX('_Datos'!$V$7:$V$200,$P86))</f>
      </c>
      <c r="L86" s="207">
        <f>IF($P86="","",INDEX('_Datos'!$W$7:$W$200,$P86))</f>
      </c>
      <c r="M86" s="204">
        <f>IF($P86="","",INDEX('_Datos'!$AC$7:$AC$200,$P86))</f>
      </c>
      <c r="P86" s="201">
        <f>IFERROR(MATCH(LARGE('_Datos'!$AJ$7:$AJ$200,ROW()-7+1),'_Datos'!$AJ$7:$AJ$200,0),"")</f>
      </c>
    </row>
    <row r="87">
      <c r="B87" s="203">
        <f>IF($P87="","",INDEX('_Datos'!$AB$7:$AB$200,$P87))</f>
      </c>
      <c r="C87" s="203">
        <f>IF($P87="","",INDEX('_Datos'!$AE$7:$AE$200,$P87))</f>
      </c>
      <c r="D87" s="204">
        <f>IF($P87="","",INDEX('_Datos'!$F$7:$F$200,$P87))</f>
      </c>
      <c r="E87" s="204">
        <f>IF($P87="","",INDEX('_Datos'!$G$7:$G$200,$P87))</f>
      </c>
      <c r="F87" s="205">
        <f>IF($P87="","",INDEX('_Datos'!$H$7:$H$200,$P87))</f>
      </c>
      <c r="G87" s="203">
        <f>IF($P87="","",INDEX('_Datos'!$J$7:$J$200,$P87))</f>
      </c>
      <c r="H87" s="207">
        <f>IF($P87="","",INDEX('_Datos'!$K$7:$K$200,$P87))</f>
      </c>
      <c r="I87" s="207">
        <f>IF($P87="","",INDEX('_Datos'!$S$7:$S$200,$P87))</f>
      </c>
      <c r="J87" s="207">
        <f>IF($P87="","",INDEX('_Datos'!$T$7:$T$200,$P87))</f>
      </c>
      <c r="K87" s="206">
        <f>IF($P87="","",INDEX('_Datos'!$V$7:$V$200,$P87))</f>
      </c>
      <c r="L87" s="207">
        <f>IF($P87="","",INDEX('_Datos'!$W$7:$W$200,$P87))</f>
      </c>
      <c r="M87" s="204">
        <f>IF($P87="","",INDEX('_Datos'!$AC$7:$AC$200,$P87))</f>
      </c>
      <c r="P87" s="201">
        <f>IFERROR(MATCH(LARGE('_Datos'!$AJ$7:$AJ$200,ROW()-7+1),'_Datos'!$AJ$7:$AJ$200,0),"")</f>
      </c>
    </row>
    <row r="88">
      <c r="B88" s="203">
        <f>IF($P88="","",INDEX('_Datos'!$AB$7:$AB$200,$P88))</f>
      </c>
      <c r="C88" s="203">
        <f>IF($P88="","",INDEX('_Datos'!$AE$7:$AE$200,$P88))</f>
      </c>
      <c r="D88" s="204">
        <f>IF($P88="","",INDEX('_Datos'!$F$7:$F$200,$P88))</f>
      </c>
      <c r="E88" s="204">
        <f>IF($P88="","",INDEX('_Datos'!$G$7:$G$200,$P88))</f>
      </c>
      <c r="F88" s="205">
        <f>IF($P88="","",INDEX('_Datos'!$H$7:$H$200,$P88))</f>
      </c>
      <c r="G88" s="203">
        <f>IF($P88="","",INDEX('_Datos'!$J$7:$J$200,$P88))</f>
      </c>
      <c r="H88" s="207">
        <f>IF($P88="","",INDEX('_Datos'!$K$7:$K$200,$P88))</f>
      </c>
      <c r="I88" s="207">
        <f>IF($P88="","",INDEX('_Datos'!$S$7:$S$200,$P88))</f>
      </c>
      <c r="J88" s="207">
        <f>IF($P88="","",INDEX('_Datos'!$T$7:$T$200,$P88))</f>
      </c>
      <c r="K88" s="206">
        <f>IF($P88="","",INDEX('_Datos'!$V$7:$V$200,$P88))</f>
      </c>
      <c r="L88" s="207">
        <f>IF($P88="","",INDEX('_Datos'!$W$7:$W$200,$P88))</f>
      </c>
      <c r="M88" s="204">
        <f>IF($P88="","",INDEX('_Datos'!$AC$7:$AC$200,$P88))</f>
      </c>
      <c r="P88" s="201">
        <f>IFERROR(MATCH(LARGE('_Datos'!$AJ$7:$AJ$200,ROW()-7+1),'_Datos'!$AJ$7:$AJ$200,0),"")</f>
      </c>
    </row>
    <row r="89">
      <c r="B89" s="203">
        <f>IF($P89="","",INDEX('_Datos'!$AB$7:$AB$200,$P89))</f>
      </c>
      <c r="C89" s="203">
        <f>IF($P89="","",INDEX('_Datos'!$AE$7:$AE$200,$P89))</f>
      </c>
      <c r="D89" s="204">
        <f>IF($P89="","",INDEX('_Datos'!$F$7:$F$200,$P89))</f>
      </c>
      <c r="E89" s="204">
        <f>IF($P89="","",INDEX('_Datos'!$G$7:$G$200,$P89))</f>
      </c>
      <c r="F89" s="205">
        <f>IF($P89="","",INDEX('_Datos'!$H$7:$H$200,$P89))</f>
      </c>
      <c r="G89" s="203">
        <f>IF($P89="","",INDEX('_Datos'!$J$7:$J$200,$P89))</f>
      </c>
      <c r="H89" s="207">
        <f>IF($P89="","",INDEX('_Datos'!$K$7:$K$200,$P89))</f>
      </c>
      <c r="I89" s="207">
        <f>IF($P89="","",INDEX('_Datos'!$S$7:$S$200,$P89))</f>
      </c>
      <c r="J89" s="207">
        <f>IF($P89="","",INDEX('_Datos'!$T$7:$T$200,$P89))</f>
      </c>
      <c r="K89" s="206">
        <f>IF($P89="","",INDEX('_Datos'!$V$7:$V$200,$P89))</f>
      </c>
      <c r="L89" s="207">
        <f>IF($P89="","",INDEX('_Datos'!$W$7:$W$200,$P89))</f>
      </c>
      <c r="M89" s="204">
        <f>IF($P89="","",INDEX('_Datos'!$AC$7:$AC$200,$P89))</f>
      </c>
      <c r="P89" s="201">
        <f>IFERROR(MATCH(LARGE('_Datos'!$AJ$7:$AJ$200,ROW()-7+1),'_Datos'!$AJ$7:$AJ$200,0),"")</f>
      </c>
    </row>
    <row r="90">
      <c r="B90" s="203">
        <f>IF($P90="","",INDEX('_Datos'!$AB$7:$AB$200,$P90))</f>
      </c>
      <c r="C90" s="203">
        <f>IF($P90="","",INDEX('_Datos'!$AE$7:$AE$200,$P90))</f>
      </c>
      <c r="D90" s="204">
        <f>IF($P90="","",INDEX('_Datos'!$F$7:$F$200,$P90))</f>
      </c>
      <c r="E90" s="204">
        <f>IF($P90="","",INDEX('_Datos'!$G$7:$G$200,$P90))</f>
      </c>
      <c r="F90" s="205">
        <f>IF($P90="","",INDEX('_Datos'!$H$7:$H$200,$P90))</f>
      </c>
      <c r="G90" s="203">
        <f>IF($P90="","",INDEX('_Datos'!$J$7:$J$200,$P90))</f>
      </c>
      <c r="H90" s="207">
        <f>IF($P90="","",INDEX('_Datos'!$K$7:$K$200,$P90))</f>
      </c>
      <c r="I90" s="207">
        <f>IF($P90="","",INDEX('_Datos'!$S$7:$S$200,$P90))</f>
      </c>
      <c r="J90" s="207">
        <f>IF($P90="","",INDEX('_Datos'!$T$7:$T$200,$P90))</f>
      </c>
      <c r="K90" s="206">
        <f>IF($P90="","",INDEX('_Datos'!$V$7:$V$200,$P90))</f>
      </c>
      <c r="L90" s="207">
        <f>IF($P90="","",INDEX('_Datos'!$W$7:$W$200,$P90))</f>
      </c>
      <c r="M90" s="204">
        <f>IF($P90="","",INDEX('_Datos'!$AC$7:$AC$200,$P90))</f>
      </c>
      <c r="P90" s="201">
        <f>IFERROR(MATCH(LARGE('_Datos'!$AJ$7:$AJ$200,ROW()-7+1),'_Datos'!$AJ$7:$AJ$200,0),"")</f>
      </c>
    </row>
    <row r="91">
      <c r="B91" s="203">
        <f>IF($P91="","",INDEX('_Datos'!$AB$7:$AB$200,$P91))</f>
      </c>
      <c r="C91" s="203">
        <f>IF($P91="","",INDEX('_Datos'!$AE$7:$AE$200,$P91))</f>
      </c>
      <c r="D91" s="204">
        <f>IF($P91="","",INDEX('_Datos'!$F$7:$F$200,$P91))</f>
      </c>
      <c r="E91" s="204">
        <f>IF($P91="","",INDEX('_Datos'!$G$7:$G$200,$P91))</f>
      </c>
      <c r="F91" s="205">
        <f>IF($P91="","",INDEX('_Datos'!$H$7:$H$200,$P91))</f>
      </c>
      <c r="G91" s="203">
        <f>IF($P91="","",INDEX('_Datos'!$J$7:$J$200,$P91))</f>
      </c>
      <c r="H91" s="207">
        <f>IF($P91="","",INDEX('_Datos'!$K$7:$K$200,$P91))</f>
      </c>
      <c r="I91" s="207">
        <f>IF($P91="","",INDEX('_Datos'!$S$7:$S$200,$P91))</f>
      </c>
      <c r="J91" s="207">
        <f>IF($P91="","",INDEX('_Datos'!$T$7:$T$200,$P91))</f>
      </c>
      <c r="K91" s="206">
        <f>IF($P91="","",INDEX('_Datos'!$V$7:$V$200,$P91))</f>
      </c>
      <c r="L91" s="207">
        <f>IF($P91="","",INDEX('_Datos'!$W$7:$W$200,$P91))</f>
      </c>
      <c r="M91" s="204">
        <f>IF($P91="","",INDEX('_Datos'!$AC$7:$AC$200,$P91))</f>
      </c>
      <c r="P91" s="201">
        <f>IFERROR(MATCH(LARGE('_Datos'!$AJ$7:$AJ$200,ROW()-7+1),'_Datos'!$AJ$7:$AJ$200,0),"")</f>
      </c>
    </row>
    <row r="92">
      <c r="B92" s="203">
        <f>IF($P92="","",INDEX('_Datos'!$AB$7:$AB$200,$P92))</f>
      </c>
      <c r="C92" s="203">
        <f>IF($P92="","",INDEX('_Datos'!$AE$7:$AE$200,$P92))</f>
      </c>
      <c r="D92" s="204">
        <f>IF($P92="","",INDEX('_Datos'!$F$7:$F$200,$P92))</f>
      </c>
      <c r="E92" s="204">
        <f>IF($P92="","",INDEX('_Datos'!$G$7:$G$200,$P92))</f>
      </c>
      <c r="F92" s="205">
        <f>IF($P92="","",INDEX('_Datos'!$H$7:$H$200,$P92))</f>
      </c>
      <c r="G92" s="203">
        <f>IF($P92="","",INDEX('_Datos'!$J$7:$J$200,$P92))</f>
      </c>
      <c r="H92" s="207">
        <f>IF($P92="","",INDEX('_Datos'!$K$7:$K$200,$P92))</f>
      </c>
      <c r="I92" s="207">
        <f>IF($P92="","",INDEX('_Datos'!$S$7:$S$200,$P92))</f>
      </c>
      <c r="J92" s="207">
        <f>IF($P92="","",INDEX('_Datos'!$T$7:$T$200,$P92))</f>
      </c>
      <c r="K92" s="206">
        <f>IF($P92="","",INDEX('_Datos'!$V$7:$V$200,$P92))</f>
      </c>
      <c r="L92" s="207">
        <f>IF($P92="","",INDEX('_Datos'!$W$7:$W$200,$P92))</f>
      </c>
      <c r="M92" s="204">
        <f>IF($P92="","",INDEX('_Datos'!$AC$7:$AC$200,$P92))</f>
      </c>
      <c r="P92" s="201">
        <f>IFERROR(MATCH(LARGE('_Datos'!$AJ$7:$AJ$200,ROW()-7+1),'_Datos'!$AJ$7:$AJ$200,0),"")</f>
      </c>
    </row>
    <row r="93">
      <c r="B93" s="203">
        <f>IF($P93="","",INDEX('_Datos'!$AB$7:$AB$200,$P93))</f>
      </c>
      <c r="C93" s="203">
        <f>IF($P93="","",INDEX('_Datos'!$AE$7:$AE$200,$P93))</f>
      </c>
      <c r="D93" s="204">
        <f>IF($P93="","",INDEX('_Datos'!$F$7:$F$200,$P93))</f>
      </c>
      <c r="E93" s="204">
        <f>IF($P93="","",INDEX('_Datos'!$G$7:$G$200,$P93))</f>
      </c>
      <c r="F93" s="205">
        <f>IF($P93="","",INDEX('_Datos'!$H$7:$H$200,$P93))</f>
      </c>
      <c r="G93" s="203">
        <f>IF($P93="","",INDEX('_Datos'!$J$7:$J$200,$P93))</f>
      </c>
      <c r="H93" s="207">
        <f>IF($P93="","",INDEX('_Datos'!$K$7:$K$200,$P93))</f>
      </c>
      <c r="I93" s="207">
        <f>IF($P93="","",INDEX('_Datos'!$S$7:$S$200,$P93))</f>
      </c>
      <c r="J93" s="207">
        <f>IF($P93="","",INDEX('_Datos'!$T$7:$T$200,$P93))</f>
      </c>
      <c r="K93" s="206">
        <f>IF($P93="","",INDEX('_Datos'!$V$7:$V$200,$P93))</f>
      </c>
      <c r="L93" s="207">
        <f>IF($P93="","",INDEX('_Datos'!$W$7:$W$200,$P93))</f>
      </c>
      <c r="M93" s="204">
        <f>IF($P93="","",INDEX('_Datos'!$AC$7:$AC$200,$P93))</f>
      </c>
      <c r="P93" s="201">
        <f>IFERROR(MATCH(LARGE('_Datos'!$AJ$7:$AJ$200,ROW()-7+1),'_Datos'!$AJ$7:$AJ$200,0),"")</f>
      </c>
    </row>
    <row r="94">
      <c r="B94" s="203">
        <f>IF($P94="","",INDEX('_Datos'!$AB$7:$AB$200,$P94))</f>
      </c>
      <c r="C94" s="203">
        <f>IF($P94="","",INDEX('_Datos'!$AE$7:$AE$200,$P94))</f>
      </c>
      <c r="D94" s="204">
        <f>IF($P94="","",INDEX('_Datos'!$F$7:$F$200,$P94))</f>
      </c>
      <c r="E94" s="204">
        <f>IF($P94="","",INDEX('_Datos'!$G$7:$G$200,$P94))</f>
      </c>
      <c r="F94" s="205">
        <f>IF($P94="","",INDEX('_Datos'!$H$7:$H$200,$P94))</f>
      </c>
      <c r="G94" s="203">
        <f>IF($P94="","",INDEX('_Datos'!$J$7:$J$200,$P94))</f>
      </c>
      <c r="H94" s="207">
        <f>IF($P94="","",INDEX('_Datos'!$K$7:$K$200,$P94))</f>
      </c>
      <c r="I94" s="207">
        <f>IF($P94="","",INDEX('_Datos'!$S$7:$S$200,$P94))</f>
      </c>
      <c r="J94" s="207">
        <f>IF($P94="","",INDEX('_Datos'!$T$7:$T$200,$P94))</f>
      </c>
      <c r="K94" s="206">
        <f>IF($P94="","",INDEX('_Datos'!$V$7:$V$200,$P94))</f>
      </c>
      <c r="L94" s="207">
        <f>IF($P94="","",INDEX('_Datos'!$W$7:$W$200,$P94))</f>
      </c>
      <c r="M94" s="204">
        <f>IF($P94="","",INDEX('_Datos'!$AC$7:$AC$200,$P94))</f>
      </c>
      <c r="P94" s="201">
        <f>IFERROR(MATCH(LARGE('_Datos'!$AJ$7:$AJ$200,ROW()-7+1),'_Datos'!$AJ$7:$AJ$200,0),"")</f>
      </c>
    </row>
    <row r="95">
      <c r="B95" s="203">
        <f>IF($P95="","",INDEX('_Datos'!$AB$7:$AB$200,$P95))</f>
      </c>
      <c r="C95" s="203">
        <f>IF($P95="","",INDEX('_Datos'!$AE$7:$AE$200,$P95))</f>
      </c>
      <c r="D95" s="204">
        <f>IF($P95="","",INDEX('_Datos'!$F$7:$F$200,$P95))</f>
      </c>
      <c r="E95" s="204">
        <f>IF($P95="","",INDEX('_Datos'!$G$7:$G$200,$P95))</f>
      </c>
      <c r="F95" s="205">
        <f>IF($P95="","",INDEX('_Datos'!$H$7:$H$200,$P95))</f>
      </c>
      <c r="G95" s="203">
        <f>IF($P95="","",INDEX('_Datos'!$J$7:$J$200,$P95))</f>
      </c>
      <c r="H95" s="207">
        <f>IF($P95="","",INDEX('_Datos'!$K$7:$K$200,$P95))</f>
      </c>
      <c r="I95" s="207">
        <f>IF($P95="","",INDEX('_Datos'!$S$7:$S$200,$P95))</f>
      </c>
      <c r="J95" s="207">
        <f>IF($P95="","",INDEX('_Datos'!$T$7:$T$200,$P95))</f>
      </c>
      <c r="K95" s="206">
        <f>IF($P95="","",INDEX('_Datos'!$V$7:$V$200,$P95))</f>
      </c>
      <c r="L95" s="207">
        <f>IF($P95="","",INDEX('_Datos'!$W$7:$W$200,$P95))</f>
      </c>
      <c r="M95" s="204">
        <f>IF($P95="","",INDEX('_Datos'!$AC$7:$AC$200,$P95))</f>
      </c>
      <c r="P95" s="201">
        <f>IFERROR(MATCH(LARGE('_Datos'!$AJ$7:$AJ$200,ROW()-7+1),'_Datos'!$AJ$7:$AJ$200,0),"")</f>
      </c>
    </row>
    <row r="96">
      <c r="B96" s="203">
        <f>IF($P96="","",INDEX('_Datos'!$AB$7:$AB$200,$P96))</f>
      </c>
      <c r="C96" s="203">
        <f>IF($P96="","",INDEX('_Datos'!$AE$7:$AE$200,$P96))</f>
      </c>
      <c r="D96" s="204">
        <f>IF($P96="","",INDEX('_Datos'!$F$7:$F$200,$P96))</f>
      </c>
      <c r="E96" s="204">
        <f>IF($P96="","",INDEX('_Datos'!$G$7:$G$200,$P96))</f>
      </c>
      <c r="F96" s="205">
        <f>IF($P96="","",INDEX('_Datos'!$H$7:$H$200,$P96))</f>
      </c>
      <c r="G96" s="203">
        <f>IF($P96="","",INDEX('_Datos'!$J$7:$J$200,$P96))</f>
      </c>
      <c r="H96" s="207">
        <f>IF($P96="","",INDEX('_Datos'!$K$7:$K$200,$P96))</f>
      </c>
      <c r="I96" s="207">
        <f>IF($P96="","",INDEX('_Datos'!$S$7:$S$200,$P96))</f>
      </c>
      <c r="J96" s="207">
        <f>IF($P96="","",INDEX('_Datos'!$T$7:$T$200,$P96))</f>
      </c>
      <c r="K96" s="206">
        <f>IF($P96="","",INDEX('_Datos'!$V$7:$V$200,$P96))</f>
      </c>
      <c r="L96" s="207">
        <f>IF($P96="","",INDEX('_Datos'!$W$7:$W$200,$P96))</f>
      </c>
      <c r="M96" s="204">
        <f>IF($P96="","",INDEX('_Datos'!$AC$7:$AC$200,$P96))</f>
      </c>
      <c r="P96" s="201">
        <f>IFERROR(MATCH(LARGE('_Datos'!$AJ$7:$AJ$200,ROW()-7+1),'_Datos'!$AJ$7:$AJ$200,0),"")</f>
      </c>
    </row>
    <row r="97">
      <c r="B97" s="203">
        <f>IF($P97="","",INDEX('_Datos'!$AB$7:$AB$200,$P97))</f>
      </c>
      <c r="C97" s="203">
        <f>IF($P97="","",INDEX('_Datos'!$AE$7:$AE$200,$P97))</f>
      </c>
      <c r="D97" s="204">
        <f>IF($P97="","",INDEX('_Datos'!$F$7:$F$200,$P97))</f>
      </c>
      <c r="E97" s="204">
        <f>IF($P97="","",INDEX('_Datos'!$G$7:$G$200,$P97))</f>
      </c>
      <c r="F97" s="205">
        <f>IF($P97="","",INDEX('_Datos'!$H$7:$H$200,$P97))</f>
      </c>
      <c r="G97" s="203">
        <f>IF($P97="","",INDEX('_Datos'!$J$7:$J$200,$P97))</f>
      </c>
      <c r="H97" s="207">
        <f>IF($P97="","",INDEX('_Datos'!$K$7:$K$200,$P97))</f>
      </c>
      <c r="I97" s="207">
        <f>IF($P97="","",INDEX('_Datos'!$S$7:$S$200,$P97))</f>
      </c>
      <c r="J97" s="207">
        <f>IF($P97="","",INDEX('_Datos'!$T$7:$T$200,$P97))</f>
      </c>
      <c r="K97" s="206">
        <f>IF($P97="","",INDEX('_Datos'!$V$7:$V$200,$P97))</f>
      </c>
      <c r="L97" s="207">
        <f>IF($P97="","",INDEX('_Datos'!$W$7:$W$200,$P97))</f>
      </c>
      <c r="M97" s="204">
        <f>IF($P97="","",INDEX('_Datos'!$AC$7:$AC$200,$P97))</f>
      </c>
      <c r="P97" s="201">
        <f>IFERROR(MATCH(LARGE('_Datos'!$AJ$7:$AJ$200,ROW()-7+1),'_Datos'!$AJ$7:$AJ$200,0),"")</f>
      </c>
    </row>
    <row r="98">
      <c r="B98" s="203">
        <f>IF($P98="","",INDEX('_Datos'!$AB$7:$AB$200,$P98))</f>
      </c>
      <c r="C98" s="203">
        <f>IF($P98="","",INDEX('_Datos'!$AE$7:$AE$200,$P98))</f>
      </c>
      <c r="D98" s="204">
        <f>IF($P98="","",INDEX('_Datos'!$F$7:$F$200,$P98))</f>
      </c>
      <c r="E98" s="204">
        <f>IF($P98="","",INDEX('_Datos'!$G$7:$G$200,$P98))</f>
      </c>
      <c r="F98" s="205">
        <f>IF($P98="","",INDEX('_Datos'!$H$7:$H$200,$P98))</f>
      </c>
      <c r="G98" s="203">
        <f>IF($P98="","",INDEX('_Datos'!$J$7:$J$200,$P98))</f>
      </c>
      <c r="H98" s="207">
        <f>IF($P98="","",INDEX('_Datos'!$K$7:$K$200,$P98))</f>
      </c>
      <c r="I98" s="207">
        <f>IF($P98="","",INDEX('_Datos'!$S$7:$S$200,$P98))</f>
      </c>
      <c r="J98" s="207">
        <f>IF($P98="","",INDEX('_Datos'!$T$7:$T$200,$P98))</f>
      </c>
      <c r="K98" s="206">
        <f>IF($P98="","",INDEX('_Datos'!$V$7:$V$200,$P98))</f>
      </c>
      <c r="L98" s="207">
        <f>IF($P98="","",INDEX('_Datos'!$W$7:$W$200,$P98))</f>
      </c>
      <c r="M98" s="204">
        <f>IF($P98="","",INDEX('_Datos'!$AC$7:$AC$200,$P98))</f>
      </c>
      <c r="P98" s="201">
        <f>IFERROR(MATCH(LARGE('_Datos'!$AJ$7:$AJ$200,ROW()-7+1),'_Datos'!$AJ$7:$AJ$200,0),"")</f>
      </c>
    </row>
    <row r="99">
      <c r="B99" s="203">
        <f>IF($P99="","",INDEX('_Datos'!$AB$7:$AB$200,$P99))</f>
      </c>
      <c r="C99" s="203">
        <f>IF($P99="","",INDEX('_Datos'!$AE$7:$AE$200,$P99))</f>
      </c>
      <c r="D99" s="204">
        <f>IF($P99="","",INDEX('_Datos'!$F$7:$F$200,$P99))</f>
      </c>
      <c r="E99" s="204">
        <f>IF($P99="","",INDEX('_Datos'!$G$7:$G$200,$P99))</f>
      </c>
      <c r="F99" s="205">
        <f>IF($P99="","",INDEX('_Datos'!$H$7:$H$200,$P99))</f>
      </c>
      <c r="G99" s="203">
        <f>IF($P99="","",INDEX('_Datos'!$J$7:$J$200,$P99))</f>
      </c>
      <c r="H99" s="207">
        <f>IF($P99="","",INDEX('_Datos'!$K$7:$K$200,$P99))</f>
      </c>
      <c r="I99" s="207">
        <f>IF($P99="","",INDEX('_Datos'!$S$7:$S$200,$P99))</f>
      </c>
      <c r="J99" s="207">
        <f>IF($P99="","",INDEX('_Datos'!$T$7:$T$200,$P99))</f>
      </c>
      <c r="K99" s="206">
        <f>IF($P99="","",INDEX('_Datos'!$V$7:$V$200,$P99))</f>
      </c>
      <c r="L99" s="207">
        <f>IF($P99="","",INDEX('_Datos'!$W$7:$W$200,$P99))</f>
      </c>
      <c r="M99" s="204">
        <f>IF($P99="","",INDEX('_Datos'!$AC$7:$AC$200,$P99))</f>
      </c>
      <c r="P99" s="201">
        <f>IFERROR(MATCH(LARGE('_Datos'!$AJ$7:$AJ$200,ROW()-7+1),'_Datos'!$AJ$7:$AJ$200,0),"")</f>
      </c>
    </row>
    <row r="100">
      <c r="B100" s="203">
        <f>IF($P100="","",INDEX('_Datos'!$AB$7:$AB$200,$P100))</f>
      </c>
      <c r="C100" s="203">
        <f>IF($P100="","",INDEX('_Datos'!$AE$7:$AE$200,$P100))</f>
      </c>
      <c r="D100" s="204">
        <f>IF($P100="","",INDEX('_Datos'!$F$7:$F$200,$P100))</f>
      </c>
      <c r="E100" s="204">
        <f>IF($P100="","",INDEX('_Datos'!$G$7:$G$200,$P100))</f>
      </c>
      <c r="F100" s="205">
        <f>IF($P100="","",INDEX('_Datos'!$H$7:$H$200,$P100))</f>
      </c>
      <c r="G100" s="203">
        <f>IF($P100="","",INDEX('_Datos'!$J$7:$J$200,$P100))</f>
      </c>
      <c r="H100" s="207">
        <f>IF($P100="","",INDEX('_Datos'!$K$7:$K$200,$P100))</f>
      </c>
      <c r="I100" s="207">
        <f>IF($P100="","",INDEX('_Datos'!$S$7:$S$200,$P100))</f>
      </c>
      <c r="J100" s="207">
        <f>IF($P100="","",INDEX('_Datos'!$T$7:$T$200,$P100))</f>
      </c>
      <c r="K100" s="206">
        <f>IF($P100="","",INDEX('_Datos'!$V$7:$V$200,$P100))</f>
      </c>
      <c r="L100" s="207">
        <f>IF($P100="","",INDEX('_Datos'!$W$7:$W$200,$P100))</f>
      </c>
      <c r="M100" s="204">
        <f>IF($P100="","",INDEX('_Datos'!$AC$7:$AC$200,$P100))</f>
      </c>
      <c r="P100" s="201">
        <f>IFERROR(MATCH(LARGE('_Datos'!$AJ$7:$AJ$200,ROW()-7+1),'_Datos'!$AJ$7:$AJ$200,0),"")</f>
      </c>
    </row>
    <row r="101">
      <c r="B101" s="203">
        <f>IF($P101="","",INDEX('_Datos'!$AB$7:$AB$200,$P101))</f>
      </c>
      <c r="C101" s="203">
        <f>IF($P101="","",INDEX('_Datos'!$AE$7:$AE$200,$P101))</f>
      </c>
      <c r="D101" s="204">
        <f>IF($P101="","",INDEX('_Datos'!$F$7:$F$200,$P101))</f>
      </c>
      <c r="E101" s="204">
        <f>IF($P101="","",INDEX('_Datos'!$G$7:$G$200,$P101))</f>
      </c>
      <c r="F101" s="205">
        <f>IF($P101="","",INDEX('_Datos'!$H$7:$H$200,$P101))</f>
      </c>
      <c r="G101" s="203">
        <f>IF($P101="","",INDEX('_Datos'!$J$7:$J$200,$P101))</f>
      </c>
      <c r="H101" s="207">
        <f>IF($P101="","",INDEX('_Datos'!$K$7:$K$200,$P101))</f>
      </c>
      <c r="I101" s="207">
        <f>IF($P101="","",INDEX('_Datos'!$S$7:$S$200,$P101))</f>
      </c>
      <c r="J101" s="207">
        <f>IF($P101="","",INDEX('_Datos'!$T$7:$T$200,$P101))</f>
      </c>
      <c r="K101" s="206">
        <f>IF($P101="","",INDEX('_Datos'!$V$7:$V$200,$P101))</f>
      </c>
      <c r="L101" s="207">
        <f>IF($P101="","",INDEX('_Datos'!$W$7:$W$200,$P101))</f>
      </c>
      <c r="M101" s="204">
        <f>IF($P101="","",INDEX('_Datos'!$AC$7:$AC$200,$P101))</f>
      </c>
      <c r="P101" s="201">
        <f>IFERROR(MATCH(LARGE('_Datos'!$AJ$7:$AJ$200,ROW()-7+1),'_Datos'!$AJ$7:$AJ$200,0),"")</f>
      </c>
    </row>
    <row r="102">
      <c r="B102" s="203">
        <f>IF($P102="","",INDEX('_Datos'!$AB$7:$AB$200,$P102))</f>
      </c>
      <c r="C102" s="203">
        <f>IF($P102="","",INDEX('_Datos'!$AE$7:$AE$200,$P102))</f>
      </c>
      <c r="D102" s="204">
        <f>IF($P102="","",INDEX('_Datos'!$F$7:$F$200,$P102))</f>
      </c>
      <c r="E102" s="204">
        <f>IF($P102="","",INDEX('_Datos'!$G$7:$G$200,$P102))</f>
      </c>
      <c r="F102" s="205">
        <f>IF($P102="","",INDEX('_Datos'!$H$7:$H$200,$P102))</f>
      </c>
      <c r="G102" s="203">
        <f>IF($P102="","",INDEX('_Datos'!$J$7:$J$200,$P102))</f>
      </c>
      <c r="H102" s="207">
        <f>IF($P102="","",INDEX('_Datos'!$K$7:$K$200,$P102))</f>
      </c>
      <c r="I102" s="207">
        <f>IF($P102="","",INDEX('_Datos'!$S$7:$S$200,$P102))</f>
      </c>
      <c r="J102" s="207">
        <f>IF($P102="","",INDEX('_Datos'!$T$7:$T$200,$P102))</f>
      </c>
      <c r="K102" s="206">
        <f>IF($P102="","",INDEX('_Datos'!$V$7:$V$200,$P102))</f>
      </c>
      <c r="L102" s="207">
        <f>IF($P102="","",INDEX('_Datos'!$W$7:$W$200,$P102))</f>
      </c>
      <c r="M102" s="204">
        <f>IF($P102="","",INDEX('_Datos'!$AC$7:$AC$200,$P102))</f>
      </c>
      <c r="P102" s="201">
        <f>IFERROR(MATCH(LARGE('_Datos'!$AJ$7:$AJ$200,ROW()-7+1),'_Datos'!$AJ$7:$AJ$200,0),"")</f>
      </c>
    </row>
    <row r="103">
      <c r="B103" s="203">
        <f>IF($P103="","",INDEX('_Datos'!$AB$7:$AB$200,$P103))</f>
      </c>
      <c r="C103" s="203">
        <f>IF($P103="","",INDEX('_Datos'!$AE$7:$AE$200,$P103))</f>
      </c>
      <c r="D103" s="204">
        <f>IF($P103="","",INDEX('_Datos'!$F$7:$F$200,$P103))</f>
      </c>
      <c r="E103" s="204">
        <f>IF($P103="","",INDEX('_Datos'!$G$7:$G$200,$P103))</f>
      </c>
      <c r="F103" s="205">
        <f>IF($P103="","",INDEX('_Datos'!$H$7:$H$200,$P103))</f>
      </c>
      <c r="G103" s="203">
        <f>IF($P103="","",INDEX('_Datos'!$J$7:$J$200,$P103))</f>
      </c>
      <c r="H103" s="207">
        <f>IF($P103="","",INDEX('_Datos'!$K$7:$K$200,$P103))</f>
      </c>
      <c r="I103" s="207">
        <f>IF($P103="","",INDEX('_Datos'!$S$7:$S$200,$P103))</f>
      </c>
      <c r="J103" s="207">
        <f>IF($P103="","",INDEX('_Datos'!$T$7:$T$200,$P103))</f>
      </c>
      <c r="K103" s="206">
        <f>IF($P103="","",INDEX('_Datos'!$V$7:$V$200,$P103))</f>
      </c>
      <c r="L103" s="207">
        <f>IF($P103="","",INDEX('_Datos'!$W$7:$W$200,$P103))</f>
      </c>
      <c r="M103" s="204">
        <f>IF($P103="","",INDEX('_Datos'!$AC$7:$AC$200,$P103))</f>
      </c>
      <c r="P103" s="201">
        <f>IFERROR(MATCH(LARGE('_Datos'!$AJ$7:$AJ$200,ROW()-7+1),'_Datos'!$AJ$7:$AJ$200,0),"")</f>
      </c>
    </row>
    <row r="104">
      <c r="B104" s="203">
        <f>IF($P104="","",INDEX('_Datos'!$AB$7:$AB$200,$P104))</f>
      </c>
      <c r="C104" s="203">
        <f>IF($P104="","",INDEX('_Datos'!$AE$7:$AE$200,$P104))</f>
      </c>
      <c r="D104" s="204">
        <f>IF($P104="","",INDEX('_Datos'!$F$7:$F$200,$P104))</f>
      </c>
      <c r="E104" s="204">
        <f>IF($P104="","",INDEX('_Datos'!$G$7:$G$200,$P104))</f>
      </c>
      <c r="F104" s="205">
        <f>IF($P104="","",INDEX('_Datos'!$H$7:$H$200,$P104))</f>
      </c>
      <c r="G104" s="203">
        <f>IF($P104="","",INDEX('_Datos'!$J$7:$J$200,$P104))</f>
      </c>
      <c r="H104" s="207">
        <f>IF($P104="","",INDEX('_Datos'!$K$7:$K$200,$P104))</f>
      </c>
      <c r="I104" s="207">
        <f>IF($P104="","",INDEX('_Datos'!$S$7:$S$200,$P104))</f>
      </c>
      <c r="J104" s="207">
        <f>IF($P104="","",INDEX('_Datos'!$T$7:$T$200,$P104))</f>
      </c>
      <c r="K104" s="206">
        <f>IF($P104="","",INDEX('_Datos'!$V$7:$V$200,$P104))</f>
      </c>
      <c r="L104" s="207">
        <f>IF($P104="","",INDEX('_Datos'!$W$7:$W$200,$P104))</f>
      </c>
      <c r="M104" s="204">
        <f>IF($P104="","",INDEX('_Datos'!$AC$7:$AC$200,$P104))</f>
      </c>
      <c r="P104" s="201">
        <f>IFERROR(MATCH(LARGE('_Datos'!$AJ$7:$AJ$200,ROW()-7+1),'_Datos'!$AJ$7:$AJ$200,0),"")</f>
      </c>
    </row>
    <row r="105">
      <c r="B105" s="203">
        <f>IF($P105="","",INDEX('_Datos'!$AB$7:$AB$200,$P105))</f>
      </c>
      <c r="C105" s="203">
        <f>IF($P105="","",INDEX('_Datos'!$AE$7:$AE$200,$P105))</f>
      </c>
      <c r="D105" s="204">
        <f>IF($P105="","",INDEX('_Datos'!$F$7:$F$200,$P105))</f>
      </c>
      <c r="E105" s="204">
        <f>IF($P105="","",INDEX('_Datos'!$G$7:$G$200,$P105))</f>
      </c>
      <c r="F105" s="205">
        <f>IF($P105="","",INDEX('_Datos'!$H$7:$H$200,$P105))</f>
      </c>
      <c r="G105" s="203">
        <f>IF($P105="","",INDEX('_Datos'!$J$7:$J$200,$P105))</f>
      </c>
      <c r="H105" s="207">
        <f>IF($P105="","",INDEX('_Datos'!$K$7:$K$200,$P105))</f>
      </c>
      <c r="I105" s="207">
        <f>IF($P105="","",INDEX('_Datos'!$S$7:$S$200,$P105))</f>
      </c>
      <c r="J105" s="207">
        <f>IF($P105="","",INDEX('_Datos'!$T$7:$T$200,$P105))</f>
      </c>
      <c r="K105" s="206">
        <f>IF($P105="","",INDEX('_Datos'!$V$7:$V$200,$P105))</f>
      </c>
      <c r="L105" s="207">
        <f>IF($P105="","",INDEX('_Datos'!$W$7:$W$200,$P105))</f>
      </c>
      <c r="M105" s="204">
        <f>IF($P105="","",INDEX('_Datos'!$AC$7:$AC$200,$P105))</f>
      </c>
      <c r="P105" s="201">
        <f>IFERROR(MATCH(LARGE('_Datos'!$AJ$7:$AJ$200,ROW()-7+1),'_Datos'!$AJ$7:$AJ$200,0),"")</f>
      </c>
    </row>
    <row r="106">
      <c r="B106" s="203">
        <f>IF($P106="","",INDEX('_Datos'!$AB$7:$AB$200,$P106))</f>
      </c>
      <c r="C106" s="203">
        <f>IF($P106="","",INDEX('_Datos'!$AE$7:$AE$200,$P106))</f>
      </c>
      <c r="D106" s="204">
        <f>IF($P106="","",INDEX('_Datos'!$F$7:$F$200,$P106))</f>
      </c>
      <c r="E106" s="204">
        <f>IF($P106="","",INDEX('_Datos'!$G$7:$G$200,$P106))</f>
      </c>
      <c r="F106" s="205">
        <f>IF($P106="","",INDEX('_Datos'!$H$7:$H$200,$P106))</f>
      </c>
      <c r="G106" s="203">
        <f>IF($P106="","",INDEX('_Datos'!$J$7:$J$200,$P106))</f>
      </c>
      <c r="H106" s="207">
        <f>IF($P106="","",INDEX('_Datos'!$K$7:$K$200,$P106))</f>
      </c>
      <c r="I106" s="207">
        <f>IF($P106="","",INDEX('_Datos'!$S$7:$S$200,$P106))</f>
      </c>
      <c r="J106" s="207">
        <f>IF($P106="","",INDEX('_Datos'!$T$7:$T$200,$P106))</f>
      </c>
      <c r="K106" s="206">
        <f>IF($P106="","",INDEX('_Datos'!$V$7:$V$200,$P106))</f>
      </c>
      <c r="L106" s="207">
        <f>IF($P106="","",INDEX('_Datos'!$W$7:$W$200,$P106))</f>
      </c>
      <c r="M106" s="204">
        <f>IF($P106="","",INDEX('_Datos'!$AC$7:$AC$200,$P106))</f>
      </c>
      <c r="P106" s="201">
        <f>IFERROR(MATCH(LARGE('_Datos'!$AJ$7:$AJ$200,ROW()-7+1),'_Datos'!$AJ$7:$AJ$200,0),"")</f>
      </c>
    </row>
    <row r="107">
      <c r="B107" s="203">
        <f>IF($P107="","",INDEX('_Datos'!$AB$7:$AB$200,$P107))</f>
      </c>
      <c r="C107" s="203">
        <f>IF($P107="","",INDEX('_Datos'!$AE$7:$AE$200,$P107))</f>
      </c>
      <c r="D107" s="204">
        <f>IF($P107="","",INDEX('_Datos'!$F$7:$F$200,$P107))</f>
      </c>
      <c r="E107" s="204">
        <f>IF($P107="","",INDEX('_Datos'!$G$7:$G$200,$P107))</f>
      </c>
      <c r="F107" s="205">
        <f>IF($P107="","",INDEX('_Datos'!$H$7:$H$200,$P107))</f>
      </c>
      <c r="G107" s="203">
        <f>IF($P107="","",INDEX('_Datos'!$J$7:$J$200,$P107))</f>
      </c>
      <c r="H107" s="207">
        <f>IF($P107="","",INDEX('_Datos'!$K$7:$K$200,$P107))</f>
      </c>
      <c r="I107" s="207">
        <f>IF($P107="","",INDEX('_Datos'!$S$7:$S$200,$P107))</f>
      </c>
      <c r="J107" s="207">
        <f>IF($P107="","",INDEX('_Datos'!$T$7:$T$200,$P107))</f>
      </c>
      <c r="K107" s="206">
        <f>IF($P107="","",INDEX('_Datos'!$V$7:$V$200,$P107))</f>
      </c>
      <c r="L107" s="207">
        <f>IF($P107="","",INDEX('_Datos'!$W$7:$W$200,$P107))</f>
      </c>
      <c r="M107" s="204">
        <f>IF($P107="","",INDEX('_Datos'!$AC$7:$AC$200,$P107))</f>
      </c>
      <c r="P107" s="201">
        <f>IFERROR(MATCH(LARGE('_Datos'!$AJ$7:$AJ$200,ROW()-7+1),'_Datos'!$AJ$7:$AJ$200,0),"")</f>
      </c>
    </row>
    <row r="108">
      <c r="B108" s="203">
        <f>IF($P108="","",INDEX('_Datos'!$AB$7:$AB$200,$P108))</f>
      </c>
      <c r="C108" s="203">
        <f>IF($P108="","",INDEX('_Datos'!$AE$7:$AE$200,$P108))</f>
      </c>
      <c r="D108" s="204">
        <f>IF($P108="","",INDEX('_Datos'!$F$7:$F$200,$P108))</f>
      </c>
      <c r="E108" s="204">
        <f>IF($P108="","",INDEX('_Datos'!$G$7:$G$200,$P108))</f>
      </c>
      <c r="F108" s="205">
        <f>IF($P108="","",INDEX('_Datos'!$H$7:$H$200,$P108))</f>
      </c>
      <c r="G108" s="203">
        <f>IF($P108="","",INDEX('_Datos'!$J$7:$J$200,$P108))</f>
      </c>
      <c r="H108" s="207">
        <f>IF($P108="","",INDEX('_Datos'!$K$7:$K$200,$P108))</f>
      </c>
      <c r="I108" s="207">
        <f>IF($P108="","",INDEX('_Datos'!$S$7:$S$200,$P108))</f>
      </c>
      <c r="J108" s="207">
        <f>IF($P108="","",INDEX('_Datos'!$T$7:$T$200,$P108))</f>
      </c>
      <c r="K108" s="206">
        <f>IF($P108="","",INDEX('_Datos'!$V$7:$V$200,$P108))</f>
      </c>
      <c r="L108" s="207">
        <f>IF($P108="","",INDEX('_Datos'!$W$7:$W$200,$P108))</f>
      </c>
      <c r="M108" s="204">
        <f>IF($P108="","",INDEX('_Datos'!$AC$7:$AC$200,$P108))</f>
      </c>
      <c r="P108" s="201">
        <f>IFERROR(MATCH(LARGE('_Datos'!$AJ$7:$AJ$200,ROW()-7+1),'_Datos'!$AJ$7:$AJ$200,0),"")</f>
      </c>
    </row>
    <row r="109">
      <c r="B109" s="203">
        <f>IF($P109="","",INDEX('_Datos'!$AB$7:$AB$200,$P109))</f>
      </c>
      <c r="C109" s="203">
        <f>IF($P109="","",INDEX('_Datos'!$AE$7:$AE$200,$P109))</f>
      </c>
      <c r="D109" s="204">
        <f>IF($P109="","",INDEX('_Datos'!$F$7:$F$200,$P109))</f>
      </c>
      <c r="E109" s="204">
        <f>IF($P109="","",INDEX('_Datos'!$G$7:$G$200,$P109))</f>
      </c>
      <c r="F109" s="205">
        <f>IF($P109="","",INDEX('_Datos'!$H$7:$H$200,$P109))</f>
      </c>
      <c r="G109" s="203">
        <f>IF($P109="","",INDEX('_Datos'!$J$7:$J$200,$P109))</f>
      </c>
      <c r="H109" s="207">
        <f>IF($P109="","",INDEX('_Datos'!$K$7:$K$200,$P109))</f>
      </c>
      <c r="I109" s="207">
        <f>IF($P109="","",INDEX('_Datos'!$S$7:$S$200,$P109))</f>
      </c>
      <c r="J109" s="207">
        <f>IF($P109="","",INDEX('_Datos'!$T$7:$T$200,$P109))</f>
      </c>
      <c r="K109" s="206">
        <f>IF($P109="","",INDEX('_Datos'!$V$7:$V$200,$P109))</f>
      </c>
      <c r="L109" s="207">
        <f>IF($P109="","",INDEX('_Datos'!$W$7:$W$200,$P109))</f>
      </c>
      <c r="M109" s="204">
        <f>IF($P109="","",INDEX('_Datos'!$AC$7:$AC$200,$P109))</f>
      </c>
      <c r="P109" s="201">
        <f>IFERROR(MATCH(LARGE('_Datos'!$AJ$7:$AJ$200,ROW()-7+1),'_Datos'!$AJ$7:$AJ$200,0),"")</f>
      </c>
    </row>
    <row r="110">
      <c r="B110" s="203">
        <f>IF($P110="","",INDEX('_Datos'!$AB$7:$AB$200,$P110))</f>
      </c>
      <c r="C110" s="203">
        <f>IF($P110="","",INDEX('_Datos'!$AE$7:$AE$200,$P110))</f>
      </c>
      <c r="D110" s="204">
        <f>IF($P110="","",INDEX('_Datos'!$F$7:$F$200,$P110))</f>
      </c>
      <c r="E110" s="204">
        <f>IF($P110="","",INDEX('_Datos'!$G$7:$G$200,$P110))</f>
      </c>
      <c r="F110" s="205">
        <f>IF($P110="","",INDEX('_Datos'!$H$7:$H$200,$P110))</f>
      </c>
      <c r="G110" s="203">
        <f>IF($P110="","",INDEX('_Datos'!$J$7:$J$200,$P110))</f>
      </c>
      <c r="H110" s="207">
        <f>IF($P110="","",INDEX('_Datos'!$K$7:$K$200,$P110))</f>
      </c>
      <c r="I110" s="207">
        <f>IF($P110="","",INDEX('_Datos'!$S$7:$S$200,$P110))</f>
      </c>
      <c r="J110" s="207">
        <f>IF($P110="","",INDEX('_Datos'!$T$7:$T$200,$P110))</f>
      </c>
      <c r="K110" s="206">
        <f>IF($P110="","",INDEX('_Datos'!$V$7:$V$200,$P110))</f>
      </c>
      <c r="L110" s="207">
        <f>IF($P110="","",INDEX('_Datos'!$W$7:$W$200,$P110))</f>
      </c>
      <c r="M110" s="204">
        <f>IF($P110="","",INDEX('_Datos'!$AC$7:$AC$200,$P110))</f>
      </c>
      <c r="P110" s="201">
        <f>IFERROR(MATCH(LARGE('_Datos'!$AJ$7:$AJ$200,ROW()-7+1),'_Datos'!$AJ$7:$AJ$200,0),"")</f>
      </c>
    </row>
    <row r="111">
      <c r="B111" s="203">
        <f>IF($P111="","",INDEX('_Datos'!$AB$7:$AB$200,$P111))</f>
      </c>
      <c r="C111" s="203">
        <f>IF($P111="","",INDEX('_Datos'!$AE$7:$AE$200,$P111))</f>
      </c>
      <c r="D111" s="204">
        <f>IF($P111="","",INDEX('_Datos'!$F$7:$F$200,$P111))</f>
      </c>
      <c r="E111" s="204">
        <f>IF($P111="","",INDEX('_Datos'!$G$7:$G$200,$P111))</f>
      </c>
      <c r="F111" s="205">
        <f>IF($P111="","",INDEX('_Datos'!$H$7:$H$200,$P111))</f>
      </c>
      <c r="G111" s="203">
        <f>IF($P111="","",INDEX('_Datos'!$J$7:$J$200,$P111))</f>
      </c>
      <c r="H111" s="207">
        <f>IF($P111="","",INDEX('_Datos'!$K$7:$K$200,$P111))</f>
      </c>
      <c r="I111" s="207">
        <f>IF($P111="","",INDEX('_Datos'!$S$7:$S$200,$P111))</f>
      </c>
      <c r="J111" s="207">
        <f>IF($P111="","",INDEX('_Datos'!$T$7:$T$200,$P111))</f>
      </c>
      <c r="K111" s="206">
        <f>IF($P111="","",INDEX('_Datos'!$V$7:$V$200,$P111))</f>
      </c>
      <c r="L111" s="207">
        <f>IF($P111="","",INDEX('_Datos'!$W$7:$W$200,$P111))</f>
      </c>
      <c r="M111" s="204">
        <f>IF($P111="","",INDEX('_Datos'!$AC$7:$AC$200,$P111))</f>
      </c>
      <c r="P111" s="201">
        <f>IFERROR(MATCH(LARGE('_Datos'!$AJ$7:$AJ$200,ROW()-7+1),'_Datos'!$AJ$7:$AJ$200,0),"")</f>
      </c>
    </row>
    <row r="112">
      <c r="B112" s="203">
        <f>IF($P112="","",INDEX('_Datos'!$AB$7:$AB$200,$P112))</f>
      </c>
      <c r="C112" s="203">
        <f>IF($P112="","",INDEX('_Datos'!$AE$7:$AE$200,$P112))</f>
      </c>
      <c r="D112" s="204">
        <f>IF($P112="","",INDEX('_Datos'!$F$7:$F$200,$P112))</f>
      </c>
      <c r="E112" s="204">
        <f>IF($P112="","",INDEX('_Datos'!$G$7:$G$200,$P112))</f>
      </c>
      <c r="F112" s="205">
        <f>IF($P112="","",INDEX('_Datos'!$H$7:$H$200,$P112))</f>
      </c>
      <c r="G112" s="203">
        <f>IF($P112="","",INDEX('_Datos'!$J$7:$J$200,$P112))</f>
      </c>
      <c r="H112" s="207">
        <f>IF($P112="","",INDEX('_Datos'!$K$7:$K$200,$P112))</f>
      </c>
      <c r="I112" s="207">
        <f>IF($P112="","",INDEX('_Datos'!$S$7:$S$200,$P112))</f>
      </c>
      <c r="J112" s="207">
        <f>IF($P112="","",INDEX('_Datos'!$T$7:$T$200,$P112))</f>
      </c>
      <c r="K112" s="206">
        <f>IF($P112="","",INDEX('_Datos'!$V$7:$V$200,$P112))</f>
      </c>
      <c r="L112" s="207">
        <f>IF($P112="","",INDEX('_Datos'!$W$7:$W$200,$P112))</f>
      </c>
      <c r="M112" s="204">
        <f>IF($P112="","",INDEX('_Datos'!$AC$7:$AC$200,$P112))</f>
      </c>
      <c r="P112" s="201">
        <f>IFERROR(MATCH(LARGE('_Datos'!$AJ$7:$AJ$200,ROW()-7+1),'_Datos'!$AJ$7:$AJ$200,0),"")</f>
      </c>
    </row>
    <row r="113">
      <c r="B113" s="203">
        <f>IF($P113="","",INDEX('_Datos'!$AB$7:$AB$200,$P113))</f>
      </c>
      <c r="C113" s="203">
        <f>IF($P113="","",INDEX('_Datos'!$AE$7:$AE$200,$P113))</f>
      </c>
      <c r="D113" s="204">
        <f>IF($P113="","",INDEX('_Datos'!$F$7:$F$200,$P113))</f>
      </c>
      <c r="E113" s="204">
        <f>IF($P113="","",INDEX('_Datos'!$G$7:$G$200,$P113))</f>
      </c>
      <c r="F113" s="205">
        <f>IF($P113="","",INDEX('_Datos'!$H$7:$H$200,$P113))</f>
      </c>
      <c r="G113" s="203">
        <f>IF($P113="","",INDEX('_Datos'!$J$7:$J$200,$P113))</f>
      </c>
      <c r="H113" s="207">
        <f>IF($P113="","",INDEX('_Datos'!$K$7:$K$200,$P113))</f>
      </c>
      <c r="I113" s="207">
        <f>IF($P113="","",INDEX('_Datos'!$S$7:$S$200,$P113))</f>
      </c>
      <c r="J113" s="207">
        <f>IF($P113="","",INDEX('_Datos'!$T$7:$T$200,$P113))</f>
      </c>
      <c r="K113" s="206">
        <f>IF($P113="","",INDEX('_Datos'!$V$7:$V$200,$P113))</f>
      </c>
      <c r="L113" s="207">
        <f>IF($P113="","",INDEX('_Datos'!$W$7:$W$200,$P113))</f>
      </c>
      <c r="M113" s="204">
        <f>IF($P113="","",INDEX('_Datos'!$AC$7:$AC$200,$P113))</f>
      </c>
      <c r="P113" s="201">
        <f>IFERROR(MATCH(LARGE('_Datos'!$AJ$7:$AJ$200,ROW()-7+1),'_Datos'!$AJ$7:$AJ$200,0),"")</f>
      </c>
    </row>
    <row r="114">
      <c r="B114" s="203">
        <f>IF($P114="","",INDEX('_Datos'!$AB$7:$AB$200,$P114))</f>
      </c>
      <c r="C114" s="203">
        <f>IF($P114="","",INDEX('_Datos'!$AE$7:$AE$200,$P114))</f>
      </c>
      <c r="D114" s="204">
        <f>IF($P114="","",INDEX('_Datos'!$F$7:$F$200,$P114))</f>
      </c>
      <c r="E114" s="204">
        <f>IF($P114="","",INDEX('_Datos'!$G$7:$G$200,$P114))</f>
      </c>
      <c r="F114" s="205">
        <f>IF($P114="","",INDEX('_Datos'!$H$7:$H$200,$P114))</f>
      </c>
      <c r="G114" s="203">
        <f>IF($P114="","",INDEX('_Datos'!$J$7:$J$200,$P114))</f>
      </c>
      <c r="H114" s="207">
        <f>IF($P114="","",INDEX('_Datos'!$K$7:$K$200,$P114))</f>
      </c>
      <c r="I114" s="207">
        <f>IF($P114="","",INDEX('_Datos'!$S$7:$S$200,$P114))</f>
      </c>
      <c r="J114" s="207">
        <f>IF($P114="","",INDEX('_Datos'!$T$7:$T$200,$P114))</f>
      </c>
      <c r="K114" s="206">
        <f>IF($P114="","",INDEX('_Datos'!$V$7:$V$200,$P114))</f>
      </c>
      <c r="L114" s="207">
        <f>IF($P114="","",INDEX('_Datos'!$W$7:$W$200,$P114))</f>
      </c>
      <c r="M114" s="204">
        <f>IF($P114="","",INDEX('_Datos'!$AC$7:$AC$200,$P114))</f>
      </c>
      <c r="P114" s="201">
        <f>IFERROR(MATCH(LARGE('_Datos'!$AJ$7:$AJ$200,ROW()-7+1),'_Datos'!$AJ$7:$AJ$200,0),"")</f>
      </c>
    </row>
    <row r="115">
      <c r="B115" s="203">
        <f>IF($P115="","",INDEX('_Datos'!$AB$7:$AB$200,$P115))</f>
      </c>
      <c r="C115" s="203">
        <f>IF($P115="","",INDEX('_Datos'!$AE$7:$AE$200,$P115))</f>
      </c>
      <c r="D115" s="204">
        <f>IF($P115="","",INDEX('_Datos'!$F$7:$F$200,$P115))</f>
      </c>
      <c r="E115" s="204">
        <f>IF($P115="","",INDEX('_Datos'!$G$7:$G$200,$P115))</f>
      </c>
      <c r="F115" s="205">
        <f>IF($P115="","",INDEX('_Datos'!$H$7:$H$200,$P115))</f>
      </c>
      <c r="G115" s="203">
        <f>IF($P115="","",INDEX('_Datos'!$J$7:$J$200,$P115))</f>
      </c>
      <c r="H115" s="207">
        <f>IF($P115="","",INDEX('_Datos'!$K$7:$K$200,$P115))</f>
      </c>
      <c r="I115" s="207">
        <f>IF($P115="","",INDEX('_Datos'!$S$7:$S$200,$P115))</f>
      </c>
      <c r="J115" s="207">
        <f>IF($P115="","",INDEX('_Datos'!$T$7:$T$200,$P115))</f>
      </c>
      <c r="K115" s="206">
        <f>IF($P115="","",INDEX('_Datos'!$V$7:$V$200,$P115))</f>
      </c>
      <c r="L115" s="207">
        <f>IF($P115="","",INDEX('_Datos'!$W$7:$W$200,$P115))</f>
      </c>
      <c r="M115" s="204">
        <f>IF($P115="","",INDEX('_Datos'!$AC$7:$AC$200,$P115))</f>
      </c>
      <c r="P115" s="201">
        <f>IFERROR(MATCH(LARGE('_Datos'!$AJ$7:$AJ$200,ROW()-7+1),'_Datos'!$AJ$7:$AJ$200,0),"")</f>
      </c>
    </row>
    <row r="116">
      <c r="B116" s="203">
        <f>IF($P116="","",INDEX('_Datos'!$AB$7:$AB$200,$P116))</f>
      </c>
      <c r="C116" s="203">
        <f>IF($P116="","",INDEX('_Datos'!$AE$7:$AE$200,$P116))</f>
      </c>
      <c r="D116" s="204">
        <f>IF($P116="","",INDEX('_Datos'!$F$7:$F$200,$P116))</f>
      </c>
      <c r="E116" s="204">
        <f>IF($P116="","",INDEX('_Datos'!$G$7:$G$200,$P116))</f>
      </c>
      <c r="F116" s="205">
        <f>IF($P116="","",INDEX('_Datos'!$H$7:$H$200,$P116))</f>
      </c>
      <c r="G116" s="203">
        <f>IF($P116="","",INDEX('_Datos'!$J$7:$J$200,$P116))</f>
      </c>
      <c r="H116" s="207">
        <f>IF($P116="","",INDEX('_Datos'!$K$7:$K$200,$P116))</f>
      </c>
      <c r="I116" s="207">
        <f>IF($P116="","",INDEX('_Datos'!$S$7:$S$200,$P116))</f>
      </c>
      <c r="J116" s="207">
        <f>IF($P116="","",INDEX('_Datos'!$T$7:$T$200,$P116))</f>
      </c>
      <c r="K116" s="206">
        <f>IF($P116="","",INDEX('_Datos'!$V$7:$V$200,$P116))</f>
      </c>
      <c r="L116" s="207">
        <f>IF($P116="","",INDEX('_Datos'!$W$7:$W$200,$P116))</f>
      </c>
      <c r="M116" s="204">
        <f>IF($P116="","",INDEX('_Datos'!$AC$7:$AC$200,$P116))</f>
      </c>
      <c r="P116" s="201">
        <f>IFERROR(MATCH(LARGE('_Datos'!$AJ$7:$AJ$200,ROW()-7+1),'_Datos'!$AJ$7:$AJ$200,0),"")</f>
      </c>
    </row>
    <row r="117">
      <c r="B117" s="203">
        <f>IF($P117="","",INDEX('_Datos'!$AB$7:$AB$200,$P117))</f>
      </c>
      <c r="C117" s="203">
        <f>IF($P117="","",INDEX('_Datos'!$AE$7:$AE$200,$P117))</f>
      </c>
      <c r="D117" s="204">
        <f>IF($P117="","",INDEX('_Datos'!$F$7:$F$200,$P117))</f>
      </c>
      <c r="E117" s="204">
        <f>IF($P117="","",INDEX('_Datos'!$G$7:$G$200,$P117))</f>
      </c>
      <c r="F117" s="205">
        <f>IF($P117="","",INDEX('_Datos'!$H$7:$H$200,$P117))</f>
      </c>
      <c r="G117" s="203">
        <f>IF($P117="","",INDEX('_Datos'!$J$7:$J$200,$P117))</f>
      </c>
      <c r="H117" s="207">
        <f>IF($P117="","",INDEX('_Datos'!$K$7:$K$200,$P117))</f>
      </c>
      <c r="I117" s="207">
        <f>IF($P117="","",INDEX('_Datos'!$S$7:$S$200,$P117))</f>
      </c>
      <c r="J117" s="207">
        <f>IF($P117="","",INDEX('_Datos'!$T$7:$T$200,$P117))</f>
      </c>
      <c r="K117" s="206">
        <f>IF($P117="","",INDEX('_Datos'!$V$7:$V$200,$P117))</f>
      </c>
      <c r="L117" s="207">
        <f>IF($P117="","",INDEX('_Datos'!$W$7:$W$200,$P117))</f>
      </c>
      <c r="M117" s="204">
        <f>IF($P117="","",INDEX('_Datos'!$AC$7:$AC$200,$P117))</f>
      </c>
      <c r="P117" s="201">
        <f>IFERROR(MATCH(LARGE('_Datos'!$AJ$7:$AJ$200,ROW()-7+1),'_Datos'!$AJ$7:$AJ$200,0),"")</f>
      </c>
    </row>
    <row r="118">
      <c r="B118" s="203">
        <f>IF($P118="","",INDEX('_Datos'!$AB$7:$AB$200,$P118))</f>
      </c>
      <c r="C118" s="203">
        <f>IF($P118="","",INDEX('_Datos'!$AE$7:$AE$200,$P118))</f>
      </c>
      <c r="D118" s="204">
        <f>IF($P118="","",INDEX('_Datos'!$F$7:$F$200,$P118))</f>
      </c>
      <c r="E118" s="204">
        <f>IF($P118="","",INDEX('_Datos'!$G$7:$G$200,$P118))</f>
      </c>
      <c r="F118" s="205">
        <f>IF($P118="","",INDEX('_Datos'!$H$7:$H$200,$P118))</f>
      </c>
      <c r="G118" s="203">
        <f>IF($P118="","",INDEX('_Datos'!$J$7:$J$200,$P118))</f>
      </c>
      <c r="H118" s="207">
        <f>IF($P118="","",INDEX('_Datos'!$K$7:$K$200,$P118))</f>
      </c>
      <c r="I118" s="207">
        <f>IF($P118="","",INDEX('_Datos'!$S$7:$S$200,$P118))</f>
      </c>
      <c r="J118" s="207">
        <f>IF($P118="","",INDEX('_Datos'!$T$7:$T$200,$P118))</f>
      </c>
      <c r="K118" s="206">
        <f>IF($P118="","",INDEX('_Datos'!$V$7:$V$200,$P118))</f>
      </c>
      <c r="L118" s="207">
        <f>IF($P118="","",INDEX('_Datos'!$W$7:$W$200,$P118))</f>
      </c>
      <c r="M118" s="204">
        <f>IF($P118="","",INDEX('_Datos'!$AC$7:$AC$200,$P118))</f>
      </c>
      <c r="P118" s="201">
        <f>IFERROR(MATCH(LARGE('_Datos'!$AJ$7:$AJ$200,ROW()-7+1),'_Datos'!$AJ$7:$AJ$200,0),"")</f>
      </c>
    </row>
    <row r="119">
      <c r="B119" s="203">
        <f>IF($P119="","",INDEX('_Datos'!$AB$7:$AB$200,$P119))</f>
      </c>
      <c r="C119" s="203">
        <f>IF($P119="","",INDEX('_Datos'!$AE$7:$AE$200,$P119))</f>
      </c>
      <c r="D119" s="204">
        <f>IF($P119="","",INDEX('_Datos'!$F$7:$F$200,$P119))</f>
      </c>
      <c r="E119" s="204">
        <f>IF($P119="","",INDEX('_Datos'!$G$7:$G$200,$P119))</f>
      </c>
      <c r="F119" s="205">
        <f>IF($P119="","",INDEX('_Datos'!$H$7:$H$200,$P119))</f>
      </c>
      <c r="G119" s="203">
        <f>IF($P119="","",INDEX('_Datos'!$J$7:$J$200,$P119))</f>
      </c>
      <c r="H119" s="207">
        <f>IF($P119="","",INDEX('_Datos'!$K$7:$K$200,$P119))</f>
      </c>
      <c r="I119" s="207">
        <f>IF($P119="","",INDEX('_Datos'!$S$7:$S$200,$P119))</f>
      </c>
      <c r="J119" s="207">
        <f>IF($P119="","",INDEX('_Datos'!$T$7:$T$200,$P119))</f>
      </c>
      <c r="K119" s="206">
        <f>IF($P119="","",INDEX('_Datos'!$V$7:$V$200,$P119))</f>
      </c>
      <c r="L119" s="207">
        <f>IF($P119="","",INDEX('_Datos'!$W$7:$W$200,$P119))</f>
      </c>
      <c r="M119" s="204">
        <f>IF($P119="","",INDEX('_Datos'!$AC$7:$AC$200,$P119))</f>
      </c>
      <c r="P119" s="201">
        <f>IFERROR(MATCH(LARGE('_Datos'!$AJ$7:$AJ$200,ROW()-7+1),'_Datos'!$AJ$7:$AJ$200,0),"")</f>
      </c>
    </row>
    <row r="120">
      <c r="B120" s="203">
        <f>IF($P120="","",INDEX('_Datos'!$AB$7:$AB$200,$P120))</f>
      </c>
      <c r="C120" s="203">
        <f>IF($P120="","",INDEX('_Datos'!$AE$7:$AE$200,$P120))</f>
      </c>
      <c r="D120" s="204">
        <f>IF($P120="","",INDEX('_Datos'!$F$7:$F$200,$P120))</f>
      </c>
      <c r="E120" s="204">
        <f>IF($P120="","",INDEX('_Datos'!$G$7:$G$200,$P120))</f>
      </c>
      <c r="F120" s="205">
        <f>IF($P120="","",INDEX('_Datos'!$H$7:$H$200,$P120))</f>
      </c>
      <c r="G120" s="203">
        <f>IF($P120="","",INDEX('_Datos'!$J$7:$J$200,$P120))</f>
      </c>
      <c r="H120" s="207">
        <f>IF($P120="","",INDEX('_Datos'!$K$7:$K$200,$P120))</f>
      </c>
      <c r="I120" s="207">
        <f>IF($P120="","",INDEX('_Datos'!$S$7:$S$200,$P120))</f>
      </c>
      <c r="J120" s="207">
        <f>IF($P120="","",INDEX('_Datos'!$T$7:$T$200,$P120))</f>
      </c>
      <c r="K120" s="206">
        <f>IF($P120="","",INDEX('_Datos'!$V$7:$V$200,$P120))</f>
      </c>
      <c r="L120" s="207">
        <f>IF($P120="","",INDEX('_Datos'!$W$7:$W$200,$P120))</f>
      </c>
      <c r="M120" s="204">
        <f>IF($P120="","",INDEX('_Datos'!$AC$7:$AC$200,$P120))</f>
      </c>
      <c r="P120" s="201">
        <f>IFERROR(MATCH(LARGE('_Datos'!$AJ$7:$AJ$200,ROW()-7+1),'_Datos'!$AJ$7:$AJ$200,0),"")</f>
      </c>
    </row>
    <row r="121">
      <c r="B121" s="203">
        <f>IF($P121="","",INDEX('_Datos'!$AB$7:$AB$200,$P121))</f>
      </c>
      <c r="C121" s="203">
        <f>IF($P121="","",INDEX('_Datos'!$AE$7:$AE$200,$P121))</f>
      </c>
      <c r="D121" s="204">
        <f>IF($P121="","",INDEX('_Datos'!$F$7:$F$200,$P121))</f>
      </c>
      <c r="E121" s="204">
        <f>IF($P121="","",INDEX('_Datos'!$G$7:$G$200,$P121))</f>
      </c>
      <c r="F121" s="205">
        <f>IF($P121="","",INDEX('_Datos'!$H$7:$H$200,$P121))</f>
      </c>
      <c r="G121" s="203">
        <f>IF($P121="","",INDEX('_Datos'!$J$7:$J$200,$P121))</f>
      </c>
      <c r="H121" s="207">
        <f>IF($P121="","",INDEX('_Datos'!$K$7:$K$200,$P121))</f>
      </c>
      <c r="I121" s="207">
        <f>IF($P121="","",INDEX('_Datos'!$S$7:$S$200,$P121))</f>
      </c>
      <c r="J121" s="207">
        <f>IF($P121="","",INDEX('_Datos'!$T$7:$T$200,$P121))</f>
      </c>
      <c r="K121" s="206">
        <f>IF($P121="","",INDEX('_Datos'!$V$7:$V$200,$P121))</f>
      </c>
      <c r="L121" s="207">
        <f>IF($P121="","",INDEX('_Datos'!$W$7:$W$200,$P121))</f>
      </c>
      <c r="M121" s="204">
        <f>IF($P121="","",INDEX('_Datos'!$AC$7:$AC$200,$P121))</f>
      </c>
      <c r="P121" s="201">
        <f>IFERROR(MATCH(LARGE('_Datos'!$AJ$7:$AJ$200,ROW()-7+1),'_Datos'!$AJ$7:$AJ$200,0),"")</f>
      </c>
    </row>
    <row r="122">
      <c r="B122" s="203">
        <f>IF($P122="","",INDEX('_Datos'!$AB$7:$AB$200,$P122))</f>
      </c>
      <c r="C122" s="203">
        <f>IF($P122="","",INDEX('_Datos'!$AE$7:$AE$200,$P122))</f>
      </c>
      <c r="D122" s="204">
        <f>IF($P122="","",INDEX('_Datos'!$F$7:$F$200,$P122))</f>
      </c>
      <c r="E122" s="204">
        <f>IF($P122="","",INDEX('_Datos'!$G$7:$G$200,$P122))</f>
      </c>
      <c r="F122" s="205">
        <f>IF($P122="","",INDEX('_Datos'!$H$7:$H$200,$P122))</f>
      </c>
      <c r="G122" s="203">
        <f>IF($P122="","",INDEX('_Datos'!$J$7:$J$200,$P122))</f>
      </c>
      <c r="H122" s="207">
        <f>IF($P122="","",INDEX('_Datos'!$K$7:$K$200,$P122))</f>
      </c>
      <c r="I122" s="207">
        <f>IF($P122="","",INDEX('_Datos'!$S$7:$S$200,$P122))</f>
      </c>
      <c r="J122" s="207">
        <f>IF($P122="","",INDEX('_Datos'!$T$7:$T$200,$P122))</f>
      </c>
      <c r="K122" s="206">
        <f>IF($P122="","",INDEX('_Datos'!$V$7:$V$200,$P122))</f>
      </c>
      <c r="L122" s="207">
        <f>IF($P122="","",INDEX('_Datos'!$W$7:$W$200,$P122))</f>
      </c>
      <c r="M122" s="204">
        <f>IF($P122="","",INDEX('_Datos'!$AC$7:$AC$200,$P122))</f>
      </c>
      <c r="P122" s="201">
        <f>IFERROR(MATCH(LARGE('_Datos'!$AJ$7:$AJ$200,ROW()-7+1),'_Datos'!$AJ$7:$AJ$200,0),"")</f>
      </c>
    </row>
    <row r="123">
      <c r="B123" s="203">
        <f>IF($P123="","",INDEX('_Datos'!$AB$7:$AB$200,$P123))</f>
      </c>
      <c r="C123" s="203">
        <f>IF($P123="","",INDEX('_Datos'!$AE$7:$AE$200,$P123))</f>
      </c>
      <c r="D123" s="204">
        <f>IF($P123="","",INDEX('_Datos'!$F$7:$F$200,$P123))</f>
      </c>
      <c r="E123" s="204">
        <f>IF($P123="","",INDEX('_Datos'!$G$7:$G$200,$P123))</f>
      </c>
      <c r="F123" s="205">
        <f>IF($P123="","",INDEX('_Datos'!$H$7:$H$200,$P123))</f>
      </c>
      <c r="G123" s="203">
        <f>IF($P123="","",INDEX('_Datos'!$J$7:$J$200,$P123))</f>
      </c>
      <c r="H123" s="207">
        <f>IF($P123="","",INDEX('_Datos'!$K$7:$K$200,$P123))</f>
      </c>
      <c r="I123" s="207">
        <f>IF($P123="","",INDEX('_Datos'!$S$7:$S$200,$P123))</f>
      </c>
      <c r="J123" s="207">
        <f>IF($P123="","",INDEX('_Datos'!$T$7:$T$200,$P123))</f>
      </c>
      <c r="K123" s="206">
        <f>IF($P123="","",INDEX('_Datos'!$V$7:$V$200,$P123))</f>
      </c>
      <c r="L123" s="207">
        <f>IF($P123="","",INDEX('_Datos'!$W$7:$W$200,$P123))</f>
      </c>
      <c r="M123" s="204">
        <f>IF($P123="","",INDEX('_Datos'!$AC$7:$AC$200,$P123))</f>
      </c>
      <c r="P123" s="201">
        <f>IFERROR(MATCH(LARGE('_Datos'!$AJ$7:$AJ$200,ROW()-7+1),'_Datos'!$AJ$7:$AJ$200,0),"")</f>
      </c>
    </row>
    <row r="124">
      <c r="B124" s="203">
        <f>IF($P124="","",INDEX('_Datos'!$AB$7:$AB$200,$P124))</f>
      </c>
      <c r="C124" s="203">
        <f>IF($P124="","",INDEX('_Datos'!$AE$7:$AE$200,$P124))</f>
      </c>
      <c r="D124" s="204">
        <f>IF($P124="","",INDEX('_Datos'!$F$7:$F$200,$P124))</f>
      </c>
      <c r="E124" s="204">
        <f>IF($P124="","",INDEX('_Datos'!$G$7:$G$200,$P124))</f>
      </c>
      <c r="F124" s="205">
        <f>IF($P124="","",INDEX('_Datos'!$H$7:$H$200,$P124))</f>
      </c>
      <c r="G124" s="203">
        <f>IF($P124="","",INDEX('_Datos'!$J$7:$J$200,$P124))</f>
      </c>
      <c r="H124" s="207">
        <f>IF($P124="","",INDEX('_Datos'!$K$7:$K$200,$P124))</f>
      </c>
      <c r="I124" s="207">
        <f>IF($P124="","",INDEX('_Datos'!$S$7:$S$200,$P124))</f>
      </c>
      <c r="J124" s="207">
        <f>IF($P124="","",INDEX('_Datos'!$T$7:$T$200,$P124))</f>
      </c>
      <c r="K124" s="206">
        <f>IF($P124="","",INDEX('_Datos'!$V$7:$V$200,$P124))</f>
      </c>
      <c r="L124" s="207">
        <f>IF($P124="","",INDEX('_Datos'!$W$7:$W$200,$P124))</f>
      </c>
      <c r="M124" s="204">
        <f>IF($P124="","",INDEX('_Datos'!$AC$7:$AC$200,$P124))</f>
      </c>
      <c r="P124" s="201">
        <f>IFERROR(MATCH(LARGE('_Datos'!$AJ$7:$AJ$200,ROW()-7+1),'_Datos'!$AJ$7:$AJ$200,0),"")</f>
      </c>
    </row>
    <row r="125">
      <c r="B125" s="203">
        <f>IF($P125="","",INDEX('_Datos'!$AB$7:$AB$200,$P125))</f>
      </c>
      <c r="C125" s="203">
        <f>IF($P125="","",INDEX('_Datos'!$AE$7:$AE$200,$P125))</f>
      </c>
      <c r="D125" s="204">
        <f>IF($P125="","",INDEX('_Datos'!$F$7:$F$200,$P125))</f>
      </c>
      <c r="E125" s="204">
        <f>IF($P125="","",INDEX('_Datos'!$G$7:$G$200,$P125))</f>
      </c>
      <c r="F125" s="205">
        <f>IF($P125="","",INDEX('_Datos'!$H$7:$H$200,$P125))</f>
      </c>
      <c r="G125" s="203">
        <f>IF($P125="","",INDEX('_Datos'!$J$7:$J$200,$P125))</f>
      </c>
      <c r="H125" s="207">
        <f>IF($P125="","",INDEX('_Datos'!$K$7:$K$200,$P125))</f>
      </c>
      <c r="I125" s="207">
        <f>IF($P125="","",INDEX('_Datos'!$S$7:$S$200,$P125))</f>
      </c>
      <c r="J125" s="207">
        <f>IF($P125="","",INDEX('_Datos'!$T$7:$T$200,$P125))</f>
      </c>
      <c r="K125" s="206">
        <f>IF($P125="","",INDEX('_Datos'!$V$7:$V$200,$P125))</f>
      </c>
      <c r="L125" s="207">
        <f>IF($P125="","",INDEX('_Datos'!$W$7:$W$200,$P125))</f>
      </c>
      <c r="M125" s="204">
        <f>IF($P125="","",INDEX('_Datos'!$AC$7:$AC$200,$P125))</f>
      </c>
      <c r="P125" s="201">
        <f>IFERROR(MATCH(LARGE('_Datos'!$AJ$7:$AJ$200,ROW()-7+1),'_Datos'!$AJ$7:$AJ$200,0),"")</f>
      </c>
    </row>
    <row r="126">
      <c r="B126" s="203">
        <f>IF($P126="","",INDEX('_Datos'!$AB$7:$AB$200,$P126))</f>
      </c>
      <c r="C126" s="203">
        <f>IF($P126="","",INDEX('_Datos'!$AE$7:$AE$200,$P126))</f>
      </c>
      <c r="D126" s="204">
        <f>IF($P126="","",INDEX('_Datos'!$F$7:$F$200,$P126))</f>
      </c>
      <c r="E126" s="204">
        <f>IF($P126="","",INDEX('_Datos'!$G$7:$G$200,$P126))</f>
      </c>
      <c r="F126" s="205">
        <f>IF($P126="","",INDEX('_Datos'!$H$7:$H$200,$P126))</f>
      </c>
      <c r="G126" s="203">
        <f>IF($P126="","",INDEX('_Datos'!$J$7:$J$200,$P126))</f>
      </c>
      <c r="H126" s="207">
        <f>IF($P126="","",INDEX('_Datos'!$K$7:$K$200,$P126))</f>
      </c>
      <c r="I126" s="207">
        <f>IF($P126="","",INDEX('_Datos'!$S$7:$S$200,$P126))</f>
      </c>
      <c r="J126" s="207">
        <f>IF($P126="","",INDEX('_Datos'!$T$7:$T$200,$P126))</f>
      </c>
      <c r="K126" s="206">
        <f>IF($P126="","",INDEX('_Datos'!$V$7:$V$200,$P126))</f>
      </c>
      <c r="L126" s="207">
        <f>IF($P126="","",INDEX('_Datos'!$W$7:$W$200,$P126))</f>
      </c>
      <c r="M126" s="204">
        <f>IF($P126="","",INDEX('_Datos'!$AC$7:$AC$200,$P126))</f>
      </c>
      <c r="P126" s="201">
        <f>IFERROR(MATCH(LARGE('_Datos'!$AJ$7:$AJ$200,ROW()-7+1),'_Datos'!$AJ$7:$AJ$200,0),"")</f>
      </c>
    </row>
    <row r="127">
      <c r="B127" s="203">
        <f>IF($P127="","",INDEX('_Datos'!$AB$7:$AB$200,$P127))</f>
      </c>
      <c r="C127" s="203">
        <f>IF($P127="","",INDEX('_Datos'!$AE$7:$AE$200,$P127))</f>
      </c>
      <c r="D127" s="204">
        <f>IF($P127="","",INDEX('_Datos'!$F$7:$F$200,$P127))</f>
      </c>
      <c r="E127" s="204">
        <f>IF($P127="","",INDEX('_Datos'!$G$7:$G$200,$P127))</f>
      </c>
      <c r="F127" s="205">
        <f>IF($P127="","",INDEX('_Datos'!$H$7:$H$200,$P127))</f>
      </c>
      <c r="G127" s="203">
        <f>IF($P127="","",INDEX('_Datos'!$J$7:$J$200,$P127))</f>
      </c>
      <c r="H127" s="207">
        <f>IF($P127="","",INDEX('_Datos'!$K$7:$K$200,$P127))</f>
      </c>
      <c r="I127" s="207">
        <f>IF($P127="","",INDEX('_Datos'!$S$7:$S$200,$P127))</f>
      </c>
      <c r="J127" s="207">
        <f>IF($P127="","",INDEX('_Datos'!$T$7:$T$200,$P127))</f>
      </c>
      <c r="K127" s="206">
        <f>IF($P127="","",INDEX('_Datos'!$V$7:$V$200,$P127))</f>
      </c>
      <c r="L127" s="207">
        <f>IF($P127="","",INDEX('_Datos'!$W$7:$W$200,$P127))</f>
      </c>
      <c r="M127" s="204">
        <f>IF($P127="","",INDEX('_Datos'!$AC$7:$AC$200,$P127))</f>
      </c>
      <c r="P127" s="201">
        <f>IFERROR(MATCH(LARGE('_Datos'!$AJ$7:$AJ$200,ROW()-7+1),'_Datos'!$AJ$7:$AJ$200,0),"")</f>
      </c>
    </row>
    <row r="128">
      <c r="B128" s="203">
        <f>IF($P128="","",INDEX('_Datos'!$AB$7:$AB$200,$P128))</f>
      </c>
      <c r="C128" s="203">
        <f>IF($P128="","",INDEX('_Datos'!$AE$7:$AE$200,$P128))</f>
      </c>
      <c r="D128" s="204">
        <f>IF($P128="","",INDEX('_Datos'!$F$7:$F$200,$P128))</f>
      </c>
      <c r="E128" s="204">
        <f>IF($P128="","",INDEX('_Datos'!$G$7:$G$200,$P128))</f>
      </c>
      <c r="F128" s="205">
        <f>IF($P128="","",INDEX('_Datos'!$H$7:$H$200,$P128))</f>
      </c>
      <c r="G128" s="203">
        <f>IF($P128="","",INDEX('_Datos'!$J$7:$J$200,$P128))</f>
      </c>
      <c r="H128" s="207">
        <f>IF($P128="","",INDEX('_Datos'!$K$7:$K$200,$P128))</f>
      </c>
      <c r="I128" s="207">
        <f>IF($P128="","",INDEX('_Datos'!$S$7:$S$200,$P128))</f>
      </c>
      <c r="J128" s="207">
        <f>IF($P128="","",INDEX('_Datos'!$T$7:$T$200,$P128))</f>
      </c>
      <c r="K128" s="206">
        <f>IF($P128="","",INDEX('_Datos'!$V$7:$V$200,$P128))</f>
      </c>
      <c r="L128" s="207">
        <f>IF($P128="","",INDEX('_Datos'!$W$7:$W$200,$P128))</f>
      </c>
      <c r="M128" s="204">
        <f>IF($P128="","",INDEX('_Datos'!$AC$7:$AC$200,$P128))</f>
      </c>
      <c r="P128" s="201">
        <f>IFERROR(MATCH(LARGE('_Datos'!$AJ$7:$AJ$200,ROW()-7+1),'_Datos'!$AJ$7:$AJ$200,0),"")</f>
      </c>
    </row>
    <row r="129">
      <c r="B129" s="203">
        <f>IF($P129="","",INDEX('_Datos'!$AB$7:$AB$200,$P129))</f>
      </c>
      <c r="C129" s="203">
        <f>IF($P129="","",INDEX('_Datos'!$AE$7:$AE$200,$P129))</f>
      </c>
      <c r="D129" s="204">
        <f>IF($P129="","",INDEX('_Datos'!$F$7:$F$200,$P129))</f>
      </c>
      <c r="E129" s="204">
        <f>IF($P129="","",INDEX('_Datos'!$G$7:$G$200,$P129))</f>
      </c>
      <c r="F129" s="205">
        <f>IF($P129="","",INDEX('_Datos'!$H$7:$H$200,$P129))</f>
      </c>
      <c r="G129" s="203">
        <f>IF($P129="","",INDEX('_Datos'!$J$7:$J$200,$P129))</f>
      </c>
      <c r="H129" s="207">
        <f>IF($P129="","",INDEX('_Datos'!$K$7:$K$200,$P129))</f>
      </c>
      <c r="I129" s="207">
        <f>IF($P129="","",INDEX('_Datos'!$S$7:$S$200,$P129))</f>
      </c>
      <c r="J129" s="207">
        <f>IF($P129="","",INDEX('_Datos'!$T$7:$T$200,$P129))</f>
      </c>
      <c r="K129" s="206">
        <f>IF($P129="","",INDEX('_Datos'!$V$7:$V$200,$P129))</f>
      </c>
      <c r="L129" s="207">
        <f>IF($P129="","",INDEX('_Datos'!$W$7:$W$200,$P129))</f>
      </c>
      <c r="M129" s="204">
        <f>IF($P129="","",INDEX('_Datos'!$AC$7:$AC$200,$P129))</f>
      </c>
      <c r="P129" s="201">
        <f>IFERROR(MATCH(LARGE('_Datos'!$AJ$7:$AJ$200,ROW()-7+1),'_Datos'!$AJ$7:$AJ$200,0),"")</f>
      </c>
    </row>
    <row r="130">
      <c r="B130" s="203">
        <f>IF($P130="","",INDEX('_Datos'!$AB$7:$AB$200,$P130))</f>
      </c>
      <c r="C130" s="203">
        <f>IF($P130="","",INDEX('_Datos'!$AE$7:$AE$200,$P130))</f>
      </c>
      <c r="D130" s="204">
        <f>IF($P130="","",INDEX('_Datos'!$F$7:$F$200,$P130))</f>
      </c>
      <c r="E130" s="204">
        <f>IF($P130="","",INDEX('_Datos'!$G$7:$G$200,$P130))</f>
      </c>
      <c r="F130" s="205">
        <f>IF($P130="","",INDEX('_Datos'!$H$7:$H$200,$P130))</f>
      </c>
      <c r="G130" s="203">
        <f>IF($P130="","",INDEX('_Datos'!$J$7:$J$200,$P130))</f>
      </c>
      <c r="H130" s="207">
        <f>IF($P130="","",INDEX('_Datos'!$K$7:$K$200,$P130))</f>
      </c>
      <c r="I130" s="207">
        <f>IF($P130="","",INDEX('_Datos'!$S$7:$S$200,$P130))</f>
      </c>
      <c r="J130" s="207">
        <f>IF($P130="","",INDEX('_Datos'!$T$7:$T$200,$P130))</f>
      </c>
      <c r="K130" s="206">
        <f>IF($P130="","",INDEX('_Datos'!$V$7:$V$200,$P130))</f>
      </c>
      <c r="L130" s="207">
        <f>IF($P130="","",INDEX('_Datos'!$W$7:$W$200,$P130))</f>
      </c>
      <c r="M130" s="204">
        <f>IF($P130="","",INDEX('_Datos'!$AC$7:$AC$200,$P130))</f>
      </c>
      <c r="P130" s="201">
        <f>IFERROR(MATCH(LARGE('_Datos'!$AJ$7:$AJ$200,ROW()-7+1),'_Datos'!$AJ$7:$AJ$200,0),"")</f>
      </c>
    </row>
    <row r="131">
      <c r="B131" s="203">
        <f>IF($P131="","",INDEX('_Datos'!$AB$7:$AB$200,$P131))</f>
      </c>
      <c r="C131" s="203">
        <f>IF($P131="","",INDEX('_Datos'!$AE$7:$AE$200,$P131))</f>
      </c>
      <c r="D131" s="204">
        <f>IF($P131="","",INDEX('_Datos'!$F$7:$F$200,$P131))</f>
      </c>
      <c r="E131" s="204">
        <f>IF($P131="","",INDEX('_Datos'!$G$7:$G$200,$P131))</f>
      </c>
      <c r="F131" s="205">
        <f>IF($P131="","",INDEX('_Datos'!$H$7:$H$200,$P131))</f>
      </c>
      <c r="G131" s="203">
        <f>IF($P131="","",INDEX('_Datos'!$J$7:$J$200,$P131))</f>
      </c>
      <c r="H131" s="207">
        <f>IF($P131="","",INDEX('_Datos'!$K$7:$K$200,$P131))</f>
      </c>
      <c r="I131" s="207">
        <f>IF($P131="","",INDEX('_Datos'!$S$7:$S$200,$P131))</f>
      </c>
      <c r="J131" s="207">
        <f>IF($P131="","",INDEX('_Datos'!$T$7:$T$200,$P131))</f>
      </c>
      <c r="K131" s="206">
        <f>IF($P131="","",INDEX('_Datos'!$V$7:$V$200,$P131))</f>
      </c>
      <c r="L131" s="207">
        <f>IF($P131="","",INDEX('_Datos'!$W$7:$W$200,$P131))</f>
      </c>
      <c r="M131" s="204">
        <f>IF($P131="","",INDEX('_Datos'!$AC$7:$AC$200,$P131))</f>
      </c>
      <c r="P131" s="201">
        <f>IFERROR(MATCH(LARGE('_Datos'!$AJ$7:$AJ$200,ROW()-7+1),'_Datos'!$AJ$7:$AJ$200,0),"")</f>
      </c>
    </row>
    <row r="132">
      <c r="B132" s="203">
        <f>IF($P132="","",INDEX('_Datos'!$AB$7:$AB$200,$P132))</f>
      </c>
      <c r="C132" s="203">
        <f>IF($P132="","",INDEX('_Datos'!$AE$7:$AE$200,$P132))</f>
      </c>
      <c r="D132" s="204">
        <f>IF($P132="","",INDEX('_Datos'!$F$7:$F$200,$P132))</f>
      </c>
      <c r="E132" s="204">
        <f>IF($P132="","",INDEX('_Datos'!$G$7:$G$200,$P132))</f>
      </c>
      <c r="F132" s="205">
        <f>IF($P132="","",INDEX('_Datos'!$H$7:$H$200,$P132))</f>
      </c>
      <c r="G132" s="203">
        <f>IF($P132="","",INDEX('_Datos'!$J$7:$J$200,$P132))</f>
      </c>
      <c r="H132" s="207">
        <f>IF($P132="","",INDEX('_Datos'!$K$7:$K$200,$P132))</f>
      </c>
      <c r="I132" s="207">
        <f>IF($P132="","",INDEX('_Datos'!$S$7:$S$200,$P132))</f>
      </c>
      <c r="J132" s="207">
        <f>IF($P132="","",INDEX('_Datos'!$T$7:$T$200,$P132))</f>
      </c>
      <c r="K132" s="206">
        <f>IF($P132="","",INDEX('_Datos'!$V$7:$V$200,$P132))</f>
      </c>
      <c r="L132" s="207">
        <f>IF($P132="","",INDEX('_Datos'!$W$7:$W$200,$P132))</f>
      </c>
      <c r="M132" s="204">
        <f>IF($P132="","",INDEX('_Datos'!$AC$7:$AC$200,$P132))</f>
      </c>
      <c r="P132" s="201">
        <f>IFERROR(MATCH(LARGE('_Datos'!$AJ$7:$AJ$200,ROW()-7+1),'_Datos'!$AJ$7:$AJ$200,0),"")</f>
      </c>
    </row>
    <row r="133">
      <c r="B133" s="203">
        <f>IF($P133="","",INDEX('_Datos'!$AB$7:$AB$200,$P133))</f>
      </c>
      <c r="C133" s="203">
        <f>IF($P133="","",INDEX('_Datos'!$AE$7:$AE$200,$P133))</f>
      </c>
      <c r="D133" s="204">
        <f>IF($P133="","",INDEX('_Datos'!$F$7:$F$200,$P133))</f>
      </c>
      <c r="E133" s="204">
        <f>IF($P133="","",INDEX('_Datos'!$G$7:$G$200,$P133))</f>
      </c>
      <c r="F133" s="205">
        <f>IF($P133="","",INDEX('_Datos'!$H$7:$H$200,$P133))</f>
      </c>
      <c r="G133" s="203">
        <f>IF($P133="","",INDEX('_Datos'!$J$7:$J$200,$P133))</f>
      </c>
      <c r="H133" s="207">
        <f>IF($P133="","",INDEX('_Datos'!$K$7:$K$200,$P133))</f>
      </c>
      <c r="I133" s="207">
        <f>IF($P133="","",INDEX('_Datos'!$S$7:$S$200,$P133))</f>
      </c>
      <c r="J133" s="207">
        <f>IF($P133="","",INDEX('_Datos'!$T$7:$T$200,$P133))</f>
      </c>
      <c r="K133" s="206">
        <f>IF($P133="","",INDEX('_Datos'!$V$7:$V$200,$P133))</f>
      </c>
      <c r="L133" s="207">
        <f>IF($P133="","",INDEX('_Datos'!$W$7:$W$200,$P133))</f>
      </c>
      <c r="M133" s="204">
        <f>IF($P133="","",INDEX('_Datos'!$AC$7:$AC$200,$P133))</f>
      </c>
      <c r="P133" s="201">
        <f>IFERROR(MATCH(LARGE('_Datos'!$AJ$7:$AJ$200,ROW()-7+1),'_Datos'!$AJ$7:$AJ$200,0),"")</f>
      </c>
    </row>
    <row r="134">
      <c r="B134" s="203">
        <f>IF($P134="","",INDEX('_Datos'!$AB$7:$AB$200,$P134))</f>
      </c>
      <c r="C134" s="203">
        <f>IF($P134="","",INDEX('_Datos'!$AE$7:$AE$200,$P134))</f>
      </c>
      <c r="D134" s="204">
        <f>IF($P134="","",INDEX('_Datos'!$F$7:$F$200,$P134))</f>
      </c>
      <c r="E134" s="204">
        <f>IF($P134="","",INDEX('_Datos'!$G$7:$G$200,$P134))</f>
      </c>
      <c r="F134" s="205">
        <f>IF($P134="","",INDEX('_Datos'!$H$7:$H$200,$P134))</f>
      </c>
      <c r="G134" s="203">
        <f>IF($P134="","",INDEX('_Datos'!$J$7:$J$200,$P134))</f>
      </c>
      <c r="H134" s="207">
        <f>IF($P134="","",INDEX('_Datos'!$K$7:$K$200,$P134))</f>
      </c>
      <c r="I134" s="207">
        <f>IF($P134="","",INDEX('_Datos'!$S$7:$S$200,$P134))</f>
      </c>
      <c r="J134" s="207">
        <f>IF($P134="","",INDEX('_Datos'!$T$7:$T$200,$P134))</f>
      </c>
      <c r="K134" s="206">
        <f>IF($P134="","",INDEX('_Datos'!$V$7:$V$200,$P134))</f>
      </c>
      <c r="L134" s="207">
        <f>IF($P134="","",INDEX('_Datos'!$W$7:$W$200,$P134))</f>
      </c>
      <c r="M134" s="204">
        <f>IF($P134="","",INDEX('_Datos'!$AC$7:$AC$200,$P134))</f>
      </c>
      <c r="P134" s="201">
        <f>IFERROR(MATCH(LARGE('_Datos'!$AJ$7:$AJ$200,ROW()-7+1),'_Datos'!$AJ$7:$AJ$200,0),"")</f>
      </c>
    </row>
    <row r="135">
      <c r="B135" s="203">
        <f>IF($P135="","",INDEX('_Datos'!$AB$7:$AB$200,$P135))</f>
      </c>
      <c r="C135" s="203">
        <f>IF($P135="","",INDEX('_Datos'!$AE$7:$AE$200,$P135))</f>
      </c>
      <c r="D135" s="204">
        <f>IF($P135="","",INDEX('_Datos'!$F$7:$F$200,$P135))</f>
      </c>
      <c r="E135" s="204">
        <f>IF($P135="","",INDEX('_Datos'!$G$7:$G$200,$P135))</f>
      </c>
      <c r="F135" s="205">
        <f>IF($P135="","",INDEX('_Datos'!$H$7:$H$200,$P135))</f>
      </c>
      <c r="G135" s="203">
        <f>IF($P135="","",INDEX('_Datos'!$J$7:$J$200,$P135))</f>
      </c>
      <c r="H135" s="207">
        <f>IF($P135="","",INDEX('_Datos'!$K$7:$K$200,$P135))</f>
      </c>
      <c r="I135" s="207">
        <f>IF($P135="","",INDEX('_Datos'!$S$7:$S$200,$P135))</f>
      </c>
      <c r="J135" s="207">
        <f>IF($P135="","",INDEX('_Datos'!$T$7:$T$200,$P135))</f>
      </c>
      <c r="K135" s="206">
        <f>IF($P135="","",INDEX('_Datos'!$V$7:$V$200,$P135))</f>
      </c>
      <c r="L135" s="207">
        <f>IF($P135="","",INDEX('_Datos'!$W$7:$W$200,$P135))</f>
      </c>
      <c r="M135" s="204">
        <f>IF($P135="","",INDEX('_Datos'!$AC$7:$AC$200,$P135))</f>
      </c>
      <c r="P135" s="201">
        <f>IFERROR(MATCH(LARGE('_Datos'!$AJ$7:$AJ$200,ROW()-7+1),'_Datos'!$AJ$7:$AJ$200,0),"")</f>
      </c>
    </row>
    <row r="136">
      <c r="B136" s="203">
        <f>IF($P136="","",INDEX('_Datos'!$AB$7:$AB$200,$P136))</f>
      </c>
      <c r="C136" s="203">
        <f>IF($P136="","",INDEX('_Datos'!$AE$7:$AE$200,$P136))</f>
      </c>
      <c r="D136" s="204">
        <f>IF($P136="","",INDEX('_Datos'!$F$7:$F$200,$P136))</f>
      </c>
      <c r="E136" s="204">
        <f>IF($P136="","",INDEX('_Datos'!$G$7:$G$200,$P136))</f>
      </c>
      <c r="F136" s="205">
        <f>IF($P136="","",INDEX('_Datos'!$H$7:$H$200,$P136))</f>
      </c>
      <c r="G136" s="203">
        <f>IF($P136="","",INDEX('_Datos'!$J$7:$J$200,$P136))</f>
      </c>
      <c r="H136" s="207">
        <f>IF($P136="","",INDEX('_Datos'!$K$7:$K$200,$P136))</f>
      </c>
      <c r="I136" s="207">
        <f>IF($P136="","",INDEX('_Datos'!$S$7:$S$200,$P136))</f>
      </c>
      <c r="J136" s="207">
        <f>IF($P136="","",INDEX('_Datos'!$T$7:$T$200,$P136))</f>
      </c>
      <c r="K136" s="206">
        <f>IF($P136="","",INDEX('_Datos'!$V$7:$V$200,$P136))</f>
      </c>
      <c r="L136" s="207">
        <f>IF($P136="","",INDEX('_Datos'!$W$7:$W$200,$P136))</f>
      </c>
      <c r="M136" s="204">
        <f>IF($P136="","",INDEX('_Datos'!$AC$7:$AC$200,$P136))</f>
      </c>
      <c r="P136" s="201">
        <f>IFERROR(MATCH(LARGE('_Datos'!$AJ$7:$AJ$200,ROW()-7+1),'_Datos'!$AJ$7:$AJ$200,0),"")</f>
      </c>
    </row>
    <row r="137">
      <c r="B137" s="203">
        <f>IF($P137="","",INDEX('_Datos'!$AB$7:$AB$200,$P137))</f>
      </c>
      <c r="C137" s="203">
        <f>IF($P137="","",INDEX('_Datos'!$AE$7:$AE$200,$P137))</f>
      </c>
      <c r="D137" s="204">
        <f>IF($P137="","",INDEX('_Datos'!$F$7:$F$200,$P137))</f>
      </c>
      <c r="E137" s="204">
        <f>IF($P137="","",INDEX('_Datos'!$G$7:$G$200,$P137))</f>
      </c>
      <c r="F137" s="205">
        <f>IF($P137="","",INDEX('_Datos'!$H$7:$H$200,$P137))</f>
      </c>
      <c r="G137" s="203">
        <f>IF($P137="","",INDEX('_Datos'!$J$7:$J$200,$P137))</f>
      </c>
      <c r="H137" s="207">
        <f>IF($P137="","",INDEX('_Datos'!$K$7:$K$200,$P137))</f>
      </c>
      <c r="I137" s="207">
        <f>IF($P137="","",INDEX('_Datos'!$S$7:$S$200,$P137))</f>
      </c>
      <c r="J137" s="207">
        <f>IF($P137="","",INDEX('_Datos'!$T$7:$T$200,$P137))</f>
      </c>
      <c r="K137" s="206">
        <f>IF($P137="","",INDEX('_Datos'!$V$7:$V$200,$P137))</f>
      </c>
      <c r="L137" s="207">
        <f>IF($P137="","",INDEX('_Datos'!$W$7:$W$200,$P137))</f>
      </c>
      <c r="M137" s="204">
        <f>IF($P137="","",INDEX('_Datos'!$AC$7:$AC$200,$P137))</f>
      </c>
      <c r="P137" s="201">
        <f>IFERROR(MATCH(LARGE('_Datos'!$AJ$7:$AJ$200,ROW()-7+1),'_Datos'!$AJ$7:$AJ$200,0),"")</f>
      </c>
    </row>
    <row r="138">
      <c r="B138" s="203">
        <f>IF($P138="","",INDEX('_Datos'!$AB$7:$AB$200,$P138))</f>
      </c>
      <c r="C138" s="203">
        <f>IF($P138="","",INDEX('_Datos'!$AE$7:$AE$200,$P138))</f>
      </c>
      <c r="D138" s="204">
        <f>IF($P138="","",INDEX('_Datos'!$F$7:$F$200,$P138))</f>
      </c>
      <c r="E138" s="204">
        <f>IF($P138="","",INDEX('_Datos'!$G$7:$G$200,$P138))</f>
      </c>
      <c r="F138" s="205">
        <f>IF($P138="","",INDEX('_Datos'!$H$7:$H$200,$P138))</f>
      </c>
      <c r="G138" s="203">
        <f>IF($P138="","",INDEX('_Datos'!$J$7:$J$200,$P138))</f>
      </c>
      <c r="H138" s="207">
        <f>IF($P138="","",INDEX('_Datos'!$K$7:$K$200,$P138))</f>
      </c>
      <c r="I138" s="207">
        <f>IF($P138="","",INDEX('_Datos'!$S$7:$S$200,$P138))</f>
      </c>
      <c r="J138" s="207">
        <f>IF($P138="","",INDEX('_Datos'!$T$7:$T$200,$P138))</f>
      </c>
      <c r="K138" s="206">
        <f>IF($P138="","",INDEX('_Datos'!$V$7:$V$200,$P138))</f>
      </c>
      <c r="L138" s="207">
        <f>IF($P138="","",INDEX('_Datos'!$W$7:$W$200,$P138))</f>
      </c>
      <c r="M138" s="204">
        <f>IF($P138="","",INDEX('_Datos'!$AC$7:$AC$200,$P138))</f>
      </c>
      <c r="P138" s="201">
        <f>IFERROR(MATCH(LARGE('_Datos'!$AJ$7:$AJ$200,ROW()-7+1),'_Datos'!$AJ$7:$AJ$200,0),"")</f>
      </c>
    </row>
    <row r="139">
      <c r="B139" s="203">
        <f>IF($P139="","",INDEX('_Datos'!$AB$7:$AB$200,$P139))</f>
      </c>
      <c r="C139" s="203">
        <f>IF($P139="","",INDEX('_Datos'!$AE$7:$AE$200,$P139))</f>
      </c>
      <c r="D139" s="204">
        <f>IF($P139="","",INDEX('_Datos'!$F$7:$F$200,$P139))</f>
      </c>
      <c r="E139" s="204">
        <f>IF($P139="","",INDEX('_Datos'!$G$7:$G$200,$P139))</f>
      </c>
      <c r="F139" s="205">
        <f>IF($P139="","",INDEX('_Datos'!$H$7:$H$200,$P139))</f>
      </c>
      <c r="G139" s="203">
        <f>IF($P139="","",INDEX('_Datos'!$J$7:$J$200,$P139))</f>
      </c>
      <c r="H139" s="207">
        <f>IF($P139="","",INDEX('_Datos'!$K$7:$K$200,$P139))</f>
      </c>
      <c r="I139" s="207">
        <f>IF($P139="","",INDEX('_Datos'!$S$7:$S$200,$P139))</f>
      </c>
      <c r="J139" s="207">
        <f>IF($P139="","",INDEX('_Datos'!$T$7:$T$200,$P139))</f>
      </c>
      <c r="K139" s="206">
        <f>IF($P139="","",INDEX('_Datos'!$V$7:$V$200,$P139))</f>
      </c>
      <c r="L139" s="207">
        <f>IF($P139="","",INDEX('_Datos'!$W$7:$W$200,$P139))</f>
      </c>
      <c r="M139" s="204">
        <f>IF($P139="","",INDEX('_Datos'!$AC$7:$AC$200,$P139))</f>
      </c>
      <c r="P139" s="201">
        <f>IFERROR(MATCH(LARGE('_Datos'!$AJ$7:$AJ$200,ROW()-7+1),'_Datos'!$AJ$7:$AJ$200,0),"")</f>
      </c>
    </row>
    <row r="140">
      <c r="B140" s="203">
        <f>IF($P140="","",INDEX('_Datos'!$AB$7:$AB$200,$P140))</f>
      </c>
      <c r="C140" s="203">
        <f>IF($P140="","",INDEX('_Datos'!$AE$7:$AE$200,$P140))</f>
      </c>
      <c r="D140" s="204">
        <f>IF($P140="","",INDEX('_Datos'!$F$7:$F$200,$P140))</f>
      </c>
      <c r="E140" s="204">
        <f>IF($P140="","",INDEX('_Datos'!$G$7:$G$200,$P140))</f>
      </c>
      <c r="F140" s="205">
        <f>IF($P140="","",INDEX('_Datos'!$H$7:$H$200,$P140))</f>
      </c>
      <c r="G140" s="203">
        <f>IF($P140="","",INDEX('_Datos'!$J$7:$J$200,$P140))</f>
      </c>
      <c r="H140" s="207">
        <f>IF($P140="","",INDEX('_Datos'!$K$7:$K$200,$P140))</f>
      </c>
      <c r="I140" s="207">
        <f>IF($P140="","",INDEX('_Datos'!$S$7:$S$200,$P140))</f>
      </c>
      <c r="J140" s="207">
        <f>IF($P140="","",INDEX('_Datos'!$T$7:$T$200,$P140))</f>
      </c>
      <c r="K140" s="206">
        <f>IF($P140="","",INDEX('_Datos'!$V$7:$V$200,$P140))</f>
      </c>
      <c r="L140" s="207">
        <f>IF($P140="","",INDEX('_Datos'!$W$7:$W$200,$P140))</f>
      </c>
      <c r="M140" s="204">
        <f>IF($P140="","",INDEX('_Datos'!$AC$7:$AC$200,$P140))</f>
      </c>
      <c r="P140" s="201">
        <f>IFERROR(MATCH(LARGE('_Datos'!$AJ$7:$AJ$200,ROW()-7+1),'_Datos'!$AJ$7:$AJ$200,0),"")</f>
      </c>
    </row>
    <row r="141">
      <c r="B141" s="203">
        <f>IF($P141="","",INDEX('_Datos'!$AB$7:$AB$200,$P141))</f>
      </c>
      <c r="C141" s="203">
        <f>IF($P141="","",INDEX('_Datos'!$AE$7:$AE$200,$P141))</f>
      </c>
      <c r="D141" s="204">
        <f>IF($P141="","",INDEX('_Datos'!$F$7:$F$200,$P141))</f>
      </c>
      <c r="E141" s="204">
        <f>IF($P141="","",INDEX('_Datos'!$G$7:$G$200,$P141))</f>
      </c>
      <c r="F141" s="205">
        <f>IF($P141="","",INDEX('_Datos'!$H$7:$H$200,$P141))</f>
      </c>
      <c r="G141" s="203">
        <f>IF($P141="","",INDEX('_Datos'!$J$7:$J$200,$P141))</f>
      </c>
      <c r="H141" s="207">
        <f>IF($P141="","",INDEX('_Datos'!$K$7:$K$200,$P141))</f>
      </c>
      <c r="I141" s="207">
        <f>IF($P141="","",INDEX('_Datos'!$S$7:$S$200,$P141))</f>
      </c>
      <c r="J141" s="207">
        <f>IF($P141="","",INDEX('_Datos'!$T$7:$T$200,$P141))</f>
      </c>
      <c r="K141" s="206">
        <f>IF($P141="","",INDEX('_Datos'!$V$7:$V$200,$P141))</f>
      </c>
      <c r="L141" s="207">
        <f>IF($P141="","",INDEX('_Datos'!$W$7:$W$200,$P141))</f>
      </c>
      <c r="M141" s="204">
        <f>IF($P141="","",INDEX('_Datos'!$AC$7:$AC$200,$P141))</f>
      </c>
      <c r="P141" s="201">
        <f>IFERROR(MATCH(LARGE('_Datos'!$AJ$7:$AJ$200,ROW()-7+1),'_Datos'!$AJ$7:$AJ$200,0),"")</f>
      </c>
    </row>
    <row r="142">
      <c r="B142" s="203">
        <f>IF($P142="","",INDEX('_Datos'!$AB$7:$AB$200,$P142))</f>
      </c>
      <c r="C142" s="203">
        <f>IF($P142="","",INDEX('_Datos'!$AE$7:$AE$200,$P142))</f>
      </c>
      <c r="D142" s="204">
        <f>IF($P142="","",INDEX('_Datos'!$F$7:$F$200,$P142))</f>
      </c>
      <c r="E142" s="204">
        <f>IF($P142="","",INDEX('_Datos'!$G$7:$G$200,$P142))</f>
      </c>
      <c r="F142" s="205">
        <f>IF($P142="","",INDEX('_Datos'!$H$7:$H$200,$P142))</f>
      </c>
      <c r="G142" s="203">
        <f>IF($P142="","",INDEX('_Datos'!$J$7:$J$200,$P142))</f>
      </c>
      <c r="H142" s="207">
        <f>IF($P142="","",INDEX('_Datos'!$K$7:$K$200,$P142))</f>
      </c>
      <c r="I142" s="207">
        <f>IF($P142="","",INDEX('_Datos'!$S$7:$S$200,$P142))</f>
      </c>
      <c r="J142" s="207">
        <f>IF($P142="","",INDEX('_Datos'!$T$7:$T$200,$P142))</f>
      </c>
      <c r="K142" s="206">
        <f>IF($P142="","",INDEX('_Datos'!$V$7:$V$200,$P142))</f>
      </c>
      <c r="L142" s="207">
        <f>IF($P142="","",INDEX('_Datos'!$W$7:$W$200,$P142))</f>
      </c>
      <c r="M142" s="204">
        <f>IF($P142="","",INDEX('_Datos'!$AC$7:$AC$200,$P142))</f>
      </c>
      <c r="P142" s="201">
        <f>IFERROR(MATCH(LARGE('_Datos'!$AJ$7:$AJ$200,ROW()-7+1),'_Datos'!$AJ$7:$AJ$200,0),"")</f>
      </c>
    </row>
    <row r="143">
      <c r="B143" s="203">
        <f>IF($P143="","",INDEX('_Datos'!$AB$7:$AB$200,$P143))</f>
      </c>
      <c r="C143" s="203">
        <f>IF($P143="","",INDEX('_Datos'!$AE$7:$AE$200,$P143))</f>
      </c>
      <c r="D143" s="204">
        <f>IF($P143="","",INDEX('_Datos'!$F$7:$F$200,$P143))</f>
      </c>
      <c r="E143" s="204">
        <f>IF($P143="","",INDEX('_Datos'!$G$7:$G$200,$P143))</f>
      </c>
      <c r="F143" s="205">
        <f>IF($P143="","",INDEX('_Datos'!$H$7:$H$200,$P143))</f>
      </c>
      <c r="G143" s="203">
        <f>IF($P143="","",INDEX('_Datos'!$J$7:$J$200,$P143))</f>
      </c>
      <c r="H143" s="207">
        <f>IF($P143="","",INDEX('_Datos'!$K$7:$K$200,$P143))</f>
      </c>
      <c r="I143" s="207">
        <f>IF($P143="","",INDEX('_Datos'!$S$7:$S$200,$P143))</f>
      </c>
      <c r="J143" s="207">
        <f>IF($P143="","",INDEX('_Datos'!$T$7:$T$200,$P143))</f>
      </c>
      <c r="K143" s="206">
        <f>IF($P143="","",INDEX('_Datos'!$V$7:$V$200,$P143))</f>
      </c>
      <c r="L143" s="207">
        <f>IF($P143="","",INDEX('_Datos'!$W$7:$W$200,$P143))</f>
      </c>
      <c r="M143" s="204">
        <f>IF($P143="","",INDEX('_Datos'!$AC$7:$AC$200,$P143))</f>
      </c>
      <c r="P143" s="201">
        <f>IFERROR(MATCH(LARGE('_Datos'!$AJ$7:$AJ$200,ROW()-7+1),'_Datos'!$AJ$7:$AJ$200,0),"")</f>
      </c>
    </row>
    <row r="144">
      <c r="B144" s="203">
        <f>IF($P144="","",INDEX('_Datos'!$AB$7:$AB$200,$P144))</f>
      </c>
      <c r="C144" s="203">
        <f>IF($P144="","",INDEX('_Datos'!$AE$7:$AE$200,$P144))</f>
      </c>
      <c r="D144" s="204">
        <f>IF($P144="","",INDEX('_Datos'!$F$7:$F$200,$P144))</f>
      </c>
      <c r="E144" s="204">
        <f>IF($P144="","",INDEX('_Datos'!$G$7:$G$200,$P144))</f>
      </c>
      <c r="F144" s="205">
        <f>IF($P144="","",INDEX('_Datos'!$H$7:$H$200,$P144))</f>
      </c>
      <c r="G144" s="203">
        <f>IF($P144="","",INDEX('_Datos'!$J$7:$J$200,$P144))</f>
      </c>
      <c r="H144" s="207">
        <f>IF($P144="","",INDEX('_Datos'!$K$7:$K$200,$P144))</f>
      </c>
      <c r="I144" s="207">
        <f>IF($P144="","",INDEX('_Datos'!$S$7:$S$200,$P144))</f>
      </c>
      <c r="J144" s="207">
        <f>IF($P144="","",INDEX('_Datos'!$T$7:$T$200,$P144))</f>
      </c>
      <c r="K144" s="206">
        <f>IF($P144="","",INDEX('_Datos'!$V$7:$V$200,$P144))</f>
      </c>
      <c r="L144" s="207">
        <f>IF($P144="","",INDEX('_Datos'!$W$7:$W$200,$P144))</f>
      </c>
      <c r="M144" s="204">
        <f>IF($P144="","",INDEX('_Datos'!$AC$7:$AC$200,$P144))</f>
      </c>
      <c r="P144" s="201">
        <f>IFERROR(MATCH(LARGE('_Datos'!$AJ$7:$AJ$200,ROW()-7+1),'_Datos'!$AJ$7:$AJ$200,0),"")</f>
      </c>
    </row>
    <row r="145">
      <c r="B145" s="203">
        <f>IF($P145="","",INDEX('_Datos'!$AB$7:$AB$200,$P145))</f>
      </c>
      <c r="C145" s="203">
        <f>IF($P145="","",INDEX('_Datos'!$AE$7:$AE$200,$P145))</f>
      </c>
      <c r="D145" s="204">
        <f>IF($P145="","",INDEX('_Datos'!$F$7:$F$200,$P145))</f>
      </c>
      <c r="E145" s="204">
        <f>IF($P145="","",INDEX('_Datos'!$G$7:$G$200,$P145))</f>
      </c>
      <c r="F145" s="205">
        <f>IF($P145="","",INDEX('_Datos'!$H$7:$H$200,$P145))</f>
      </c>
      <c r="G145" s="203">
        <f>IF($P145="","",INDEX('_Datos'!$J$7:$J$200,$P145))</f>
      </c>
      <c r="H145" s="207">
        <f>IF($P145="","",INDEX('_Datos'!$K$7:$K$200,$P145))</f>
      </c>
      <c r="I145" s="207">
        <f>IF($P145="","",INDEX('_Datos'!$S$7:$S$200,$P145))</f>
      </c>
      <c r="J145" s="207">
        <f>IF($P145="","",INDEX('_Datos'!$T$7:$T$200,$P145))</f>
      </c>
      <c r="K145" s="206">
        <f>IF($P145="","",INDEX('_Datos'!$V$7:$V$200,$P145))</f>
      </c>
      <c r="L145" s="207">
        <f>IF($P145="","",INDEX('_Datos'!$W$7:$W$200,$P145))</f>
      </c>
      <c r="M145" s="204">
        <f>IF($P145="","",INDEX('_Datos'!$AC$7:$AC$200,$P145))</f>
      </c>
      <c r="P145" s="201">
        <f>IFERROR(MATCH(LARGE('_Datos'!$AJ$7:$AJ$200,ROW()-7+1),'_Datos'!$AJ$7:$AJ$200,0),"")</f>
      </c>
    </row>
    <row r="146">
      <c r="B146" s="203">
        <f>IF($P146="","",INDEX('_Datos'!$AB$7:$AB$200,$P146))</f>
      </c>
      <c r="C146" s="203">
        <f>IF($P146="","",INDEX('_Datos'!$AE$7:$AE$200,$P146))</f>
      </c>
      <c r="D146" s="204">
        <f>IF($P146="","",INDEX('_Datos'!$F$7:$F$200,$P146))</f>
      </c>
      <c r="E146" s="204">
        <f>IF($P146="","",INDEX('_Datos'!$G$7:$G$200,$P146))</f>
      </c>
      <c r="F146" s="205">
        <f>IF($P146="","",INDEX('_Datos'!$H$7:$H$200,$P146))</f>
      </c>
      <c r="G146" s="203">
        <f>IF($P146="","",INDEX('_Datos'!$J$7:$J$200,$P146))</f>
      </c>
      <c r="H146" s="207">
        <f>IF($P146="","",INDEX('_Datos'!$K$7:$K$200,$P146))</f>
      </c>
      <c r="I146" s="207">
        <f>IF($P146="","",INDEX('_Datos'!$S$7:$S$200,$P146))</f>
      </c>
      <c r="J146" s="207">
        <f>IF($P146="","",INDEX('_Datos'!$T$7:$T$200,$P146))</f>
      </c>
      <c r="K146" s="206">
        <f>IF($P146="","",INDEX('_Datos'!$V$7:$V$200,$P146))</f>
      </c>
      <c r="L146" s="207">
        <f>IF($P146="","",INDEX('_Datos'!$W$7:$W$200,$P146))</f>
      </c>
      <c r="M146" s="204">
        <f>IF($P146="","",INDEX('_Datos'!$AC$7:$AC$200,$P146))</f>
      </c>
      <c r="P146" s="201">
        <f>IFERROR(MATCH(LARGE('_Datos'!$AJ$7:$AJ$200,ROW()-7+1),'_Datos'!$AJ$7:$AJ$200,0),"")</f>
      </c>
    </row>
    <row r="147">
      <c r="B147" s="203">
        <f>IF($P147="","",INDEX('_Datos'!$AB$7:$AB$200,$P147))</f>
      </c>
      <c r="C147" s="203">
        <f>IF($P147="","",INDEX('_Datos'!$AE$7:$AE$200,$P147))</f>
      </c>
      <c r="D147" s="204">
        <f>IF($P147="","",INDEX('_Datos'!$F$7:$F$200,$P147))</f>
      </c>
      <c r="E147" s="204">
        <f>IF($P147="","",INDEX('_Datos'!$G$7:$G$200,$P147))</f>
      </c>
      <c r="F147" s="205">
        <f>IF($P147="","",INDEX('_Datos'!$H$7:$H$200,$P147))</f>
      </c>
      <c r="G147" s="203">
        <f>IF($P147="","",INDEX('_Datos'!$J$7:$J$200,$P147))</f>
      </c>
      <c r="H147" s="207">
        <f>IF($P147="","",INDEX('_Datos'!$K$7:$K$200,$P147))</f>
      </c>
      <c r="I147" s="207">
        <f>IF($P147="","",INDEX('_Datos'!$S$7:$S$200,$P147))</f>
      </c>
      <c r="J147" s="207">
        <f>IF($P147="","",INDEX('_Datos'!$T$7:$T$200,$P147))</f>
      </c>
      <c r="K147" s="206">
        <f>IF($P147="","",INDEX('_Datos'!$V$7:$V$200,$P147))</f>
      </c>
      <c r="L147" s="207">
        <f>IF($P147="","",INDEX('_Datos'!$W$7:$W$200,$P147))</f>
      </c>
      <c r="M147" s="204">
        <f>IF($P147="","",INDEX('_Datos'!$AC$7:$AC$200,$P147))</f>
      </c>
      <c r="P147" s="201">
        <f>IFERROR(MATCH(LARGE('_Datos'!$AJ$7:$AJ$200,ROW()-7+1),'_Datos'!$AJ$7:$AJ$200,0),"")</f>
      </c>
    </row>
    <row r="148">
      <c r="B148" s="203">
        <f>IF($P148="","",INDEX('_Datos'!$AB$7:$AB$200,$P148))</f>
      </c>
      <c r="C148" s="203">
        <f>IF($P148="","",INDEX('_Datos'!$AE$7:$AE$200,$P148))</f>
      </c>
      <c r="D148" s="204">
        <f>IF($P148="","",INDEX('_Datos'!$F$7:$F$200,$P148))</f>
      </c>
      <c r="E148" s="204">
        <f>IF($P148="","",INDEX('_Datos'!$G$7:$G$200,$P148))</f>
      </c>
      <c r="F148" s="205">
        <f>IF($P148="","",INDEX('_Datos'!$H$7:$H$200,$P148))</f>
      </c>
      <c r="G148" s="203">
        <f>IF($P148="","",INDEX('_Datos'!$J$7:$J$200,$P148))</f>
      </c>
      <c r="H148" s="207">
        <f>IF($P148="","",INDEX('_Datos'!$K$7:$K$200,$P148))</f>
      </c>
      <c r="I148" s="207">
        <f>IF($P148="","",INDEX('_Datos'!$S$7:$S$200,$P148))</f>
      </c>
      <c r="J148" s="207">
        <f>IF($P148="","",INDEX('_Datos'!$T$7:$T$200,$P148))</f>
      </c>
      <c r="K148" s="206">
        <f>IF($P148="","",INDEX('_Datos'!$V$7:$V$200,$P148))</f>
      </c>
      <c r="L148" s="207">
        <f>IF($P148="","",INDEX('_Datos'!$W$7:$W$200,$P148))</f>
      </c>
      <c r="M148" s="204">
        <f>IF($P148="","",INDEX('_Datos'!$AC$7:$AC$200,$P148))</f>
      </c>
      <c r="P148" s="201">
        <f>IFERROR(MATCH(LARGE('_Datos'!$AJ$7:$AJ$200,ROW()-7+1),'_Datos'!$AJ$7:$AJ$200,0),"")</f>
      </c>
    </row>
    <row r="149">
      <c r="B149" s="203">
        <f>IF($P149="","",INDEX('_Datos'!$AB$7:$AB$200,$P149))</f>
      </c>
      <c r="C149" s="203">
        <f>IF($P149="","",INDEX('_Datos'!$AE$7:$AE$200,$P149))</f>
      </c>
      <c r="D149" s="204">
        <f>IF($P149="","",INDEX('_Datos'!$F$7:$F$200,$P149))</f>
      </c>
      <c r="E149" s="204">
        <f>IF($P149="","",INDEX('_Datos'!$G$7:$G$200,$P149))</f>
      </c>
      <c r="F149" s="205">
        <f>IF($P149="","",INDEX('_Datos'!$H$7:$H$200,$P149))</f>
      </c>
      <c r="G149" s="203">
        <f>IF($P149="","",INDEX('_Datos'!$J$7:$J$200,$P149))</f>
      </c>
      <c r="H149" s="207">
        <f>IF($P149="","",INDEX('_Datos'!$K$7:$K$200,$P149))</f>
      </c>
      <c r="I149" s="207">
        <f>IF($P149="","",INDEX('_Datos'!$S$7:$S$200,$P149))</f>
      </c>
      <c r="J149" s="207">
        <f>IF($P149="","",INDEX('_Datos'!$T$7:$T$200,$P149))</f>
      </c>
      <c r="K149" s="206">
        <f>IF($P149="","",INDEX('_Datos'!$V$7:$V$200,$P149))</f>
      </c>
      <c r="L149" s="207">
        <f>IF($P149="","",INDEX('_Datos'!$W$7:$W$200,$P149))</f>
      </c>
      <c r="M149" s="204">
        <f>IF($P149="","",INDEX('_Datos'!$AC$7:$AC$200,$P149))</f>
      </c>
      <c r="P149" s="201">
        <f>IFERROR(MATCH(LARGE('_Datos'!$AJ$7:$AJ$200,ROW()-7+1),'_Datos'!$AJ$7:$AJ$200,0),"")</f>
      </c>
    </row>
    <row r="150">
      <c r="B150" s="203">
        <f>IF($P150="","",INDEX('_Datos'!$AB$7:$AB$200,$P150))</f>
      </c>
      <c r="C150" s="203">
        <f>IF($P150="","",INDEX('_Datos'!$AE$7:$AE$200,$P150))</f>
      </c>
      <c r="D150" s="204">
        <f>IF($P150="","",INDEX('_Datos'!$F$7:$F$200,$P150))</f>
      </c>
      <c r="E150" s="204">
        <f>IF($P150="","",INDEX('_Datos'!$G$7:$G$200,$P150))</f>
      </c>
      <c r="F150" s="205">
        <f>IF($P150="","",INDEX('_Datos'!$H$7:$H$200,$P150))</f>
      </c>
      <c r="G150" s="203">
        <f>IF($P150="","",INDEX('_Datos'!$J$7:$J$200,$P150))</f>
      </c>
      <c r="H150" s="207">
        <f>IF($P150="","",INDEX('_Datos'!$K$7:$K$200,$P150))</f>
      </c>
      <c r="I150" s="207">
        <f>IF($P150="","",INDEX('_Datos'!$S$7:$S$200,$P150))</f>
      </c>
      <c r="J150" s="207">
        <f>IF($P150="","",INDEX('_Datos'!$T$7:$T$200,$P150))</f>
      </c>
      <c r="K150" s="206">
        <f>IF($P150="","",INDEX('_Datos'!$V$7:$V$200,$P150))</f>
      </c>
      <c r="L150" s="207">
        <f>IF($P150="","",INDEX('_Datos'!$W$7:$W$200,$P150))</f>
      </c>
      <c r="M150" s="204">
        <f>IF($P150="","",INDEX('_Datos'!$AC$7:$AC$200,$P150))</f>
      </c>
      <c r="P150" s="201">
        <f>IFERROR(MATCH(LARGE('_Datos'!$AJ$7:$AJ$200,ROW()-7+1),'_Datos'!$AJ$7:$AJ$200,0),"")</f>
      </c>
    </row>
    <row r="151">
      <c r="B151" s="203">
        <f>IF($P151="","",INDEX('_Datos'!$AB$7:$AB$200,$P151))</f>
      </c>
      <c r="C151" s="203">
        <f>IF($P151="","",INDEX('_Datos'!$AE$7:$AE$200,$P151))</f>
      </c>
      <c r="D151" s="204">
        <f>IF($P151="","",INDEX('_Datos'!$F$7:$F$200,$P151))</f>
      </c>
      <c r="E151" s="204">
        <f>IF($P151="","",INDEX('_Datos'!$G$7:$G$200,$P151))</f>
      </c>
      <c r="F151" s="205">
        <f>IF($P151="","",INDEX('_Datos'!$H$7:$H$200,$P151))</f>
      </c>
      <c r="G151" s="203">
        <f>IF($P151="","",INDEX('_Datos'!$J$7:$J$200,$P151))</f>
      </c>
      <c r="H151" s="207">
        <f>IF($P151="","",INDEX('_Datos'!$K$7:$K$200,$P151))</f>
      </c>
      <c r="I151" s="207">
        <f>IF($P151="","",INDEX('_Datos'!$S$7:$S$200,$P151))</f>
      </c>
      <c r="J151" s="207">
        <f>IF($P151="","",INDEX('_Datos'!$T$7:$T$200,$P151))</f>
      </c>
      <c r="K151" s="206">
        <f>IF($P151="","",INDEX('_Datos'!$V$7:$V$200,$P151))</f>
      </c>
      <c r="L151" s="207">
        <f>IF($P151="","",INDEX('_Datos'!$W$7:$W$200,$P151))</f>
      </c>
      <c r="M151" s="204">
        <f>IF($P151="","",INDEX('_Datos'!$AC$7:$AC$200,$P151))</f>
      </c>
      <c r="P151" s="201">
        <f>IFERROR(MATCH(LARGE('_Datos'!$AJ$7:$AJ$200,ROW()-7+1),'_Datos'!$AJ$7:$AJ$200,0),"")</f>
      </c>
    </row>
    <row r="152">
      <c r="B152" s="203">
        <f>IF($P152="","",INDEX('_Datos'!$AB$7:$AB$200,$P152))</f>
      </c>
      <c r="C152" s="203">
        <f>IF($P152="","",INDEX('_Datos'!$AE$7:$AE$200,$P152))</f>
      </c>
      <c r="D152" s="204">
        <f>IF($P152="","",INDEX('_Datos'!$F$7:$F$200,$P152))</f>
      </c>
      <c r="E152" s="204">
        <f>IF($P152="","",INDEX('_Datos'!$G$7:$G$200,$P152))</f>
      </c>
      <c r="F152" s="205">
        <f>IF($P152="","",INDEX('_Datos'!$H$7:$H$200,$P152))</f>
      </c>
      <c r="G152" s="203">
        <f>IF($P152="","",INDEX('_Datos'!$J$7:$J$200,$P152))</f>
      </c>
      <c r="H152" s="207">
        <f>IF($P152="","",INDEX('_Datos'!$K$7:$K$200,$P152))</f>
      </c>
      <c r="I152" s="207">
        <f>IF($P152="","",INDEX('_Datos'!$S$7:$S$200,$P152))</f>
      </c>
      <c r="J152" s="207">
        <f>IF($P152="","",INDEX('_Datos'!$T$7:$T$200,$P152))</f>
      </c>
      <c r="K152" s="206">
        <f>IF($P152="","",INDEX('_Datos'!$V$7:$V$200,$P152))</f>
      </c>
      <c r="L152" s="207">
        <f>IF($P152="","",INDEX('_Datos'!$W$7:$W$200,$P152))</f>
      </c>
      <c r="M152" s="204">
        <f>IF($P152="","",INDEX('_Datos'!$AC$7:$AC$200,$P152))</f>
      </c>
      <c r="P152" s="201">
        <f>IFERROR(MATCH(LARGE('_Datos'!$AJ$7:$AJ$200,ROW()-7+1),'_Datos'!$AJ$7:$AJ$200,0),"")</f>
      </c>
    </row>
    <row r="153">
      <c r="B153" s="203">
        <f>IF($P153="","",INDEX('_Datos'!$AB$7:$AB$200,$P153))</f>
      </c>
      <c r="C153" s="203">
        <f>IF($P153="","",INDEX('_Datos'!$AE$7:$AE$200,$P153))</f>
      </c>
      <c r="D153" s="204">
        <f>IF($P153="","",INDEX('_Datos'!$F$7:$F$200,$P153))</f>
      </c>
      <c r="E153" s="204">
        <f>IF($P153="","",INDEX('_Datos'!$G$7:$G$200,$P153))</f>
      </c>
      <c r="F153" s="205">
        <f>IF($P153="","",INDEX('_Datos'!$H$7:$H$200,$P153))</f>
      </c>
      <c r="G153" s="203">
        <f>IF($P153="","",INDEX('_Datos'!$J$7:$J$200,$P153))</f>
      </c>
      <c r="H153" s="207">
        <f>IF($P153="","",INDEX('_Datos'!$K$7:$K$200,$P153))</f>
      </c>
      <c r="I153" s="207">
        <f>IF($P153="","",INDEX('_Datos'!$S$7:$S$200,$P153))</f>
      </c>
      <c r="J153" s="207">
        <f>IF($P153="","",INDEX('_Datos'!$T$7:$T$200,$P153))</f>
      </c>
      <c r="K153" s="206">
        <f>IF($P153="","",INDEX('_Datos'!$V$7:$V$200,$P153))</f>
      </c>
      <c r="L153" s="207">
        <f>IF($P153="","",INDEX('_Datos'!$W$7:$W$200,$P153))</f>
      </c>
      <c r="M153" s="204">
        <f>IF($P153="","",INDEX('_Datos'!$AC$7:$AC$200,$P153))</f>
      </c>
      <c r="P153" s="201">
        <f>IFERROR(MATCH(LARGE('_Datos'!$AJ$7:$AJ$200,ROW()-7+1),'_Datos'!$AJ$7:$AJ$200,0),"")</f>
      </c>
    </row>
    <row r="154">
      <c r="B154" s="203">
        <f>IF($P154="","",INDEX('_Datos'!$AB$7:$AB$200,$P154))</f>
      </c>
      <c r="C154" s="203">
        <f>IF($P154="","",INDEX('_Datos'!$AE$7:$AE$200,$P154))</f>
      </c>
      <c r="D154" s="204">
        <f>IF($P154="","",INDEX('_Datos'!$F$7:$F$200,$P154))</f>
      </c>
      <c r="E154" s="204">
        <f>IF($P154="","",INDEX('_Datos'!$G$7:$G$200,$P154))</f>
      </c>
      <c r="F154" s="205">
        <f>IF($P154="","",INDEX('_Datos'!$H$7:$H$200,$P154))</f>
      </c>
      <c r="G154" s="203">
        <f>IF($P154="","",INDEX('_Datos'!$J$7:$J$200,$P154))</f>
      </c>
      <c r="H154" s="207">
        <f>IF($P154="","",INDEX('_Datos'!$K$7:$K$200,$P154))</f>
      </c>
      <c r="I154" s="207">
        <f>IF($P154="","",INDEX('_Datos'!$S$7:$S$200,$P154))</f>
      </c>
      <c r="J154" s="207">
        <f>IF($P154="","",INDEX('_Datos'!$T$7:$T$200,$P154))</f>
      </c>
      <c r="K154" s="206">
        <f>IF($P154="","",INDEX('_Datos'!$V$7:$V$200,$P154))</f>
      </c>
      <c r="L154" s="207">
        <f>IF($P154="","",INDEX('_Datos'!$W$7:$W$200,$P154))</f>
      </c>
      <c r="M154" s="204">
        <f>IF($P154="","",INDEX('_Datos'!$AC$7:$AC$200,$P154))</f>
      </c>
      <c r="P154" s="201">
        <f>IFERROR(MATCH(LARGE('_Datos'!$AJ$7:$AJ$200,ROW()-7+1),'_Datos'!$AJ$7:$AJ$200,0),"")</f>
      </c>
    </row>
    <row r="155">
      <c r="B155" s="203">
        <f>IF($P155="","",INDEX('_Datos'!$AB$7:$AB$200,$P155))</f>
      </c>
      <c r="C155" s="203">
        <f>IF($P155="","",INDEX('_Datos'!$AE$7:$AE$200,$P155))</f>
      </c>
      <c r="D155" s="204">
        <f>IF($P155="","",INDEX('_Datos'!$F$7:$F$200,$P155))</f>
      </c>
      <c r="E155" s="204">
        <f>IF($P155="","",INDEX('_Datos'!$G$7:$G$200,$P155))</f>
      </c>
      <c r="F155" s="205">
        <f>IF($P155="","",INDEX('_Datos'!$H$7:$H$200,$P155))</f>
      </c>
      <c r="G155" s="203">
        <f>IF($P155="","",INDEX('_Datos'!$J$7:$J$200,$P155))</f>
      </c>
      <c r="H155" s="207">
        <f>IF($P155="","",INDEX('_Datos'!$K$7:$K$200,$P155))</f>
      </c>
      <c r="I155" s="207">
        <f>IF($P155="","",INDEX('_Datos'!$S$7:$S$200,$P155))</f>
      </c>
      <c r="J155" s="207">
        <f>IF($P155="","",INDEX('_Datos'!$T$7:$T$200,$P155))</f>
      </c>
      <c r="K155" s="206">
        <f>IF($P155="","",INDEX('_Datos'!$V$7:$V$200,$P155))</f>
      </c>
      <c r="L155" s="207">
        <f>IF($P155="","",INDEX('_Datos'!$W$7:$W$200,$P155))</f>
      </c>
      <c r="M155" s="204">
        <f>IF($P155="","",INDEX('_Datos'!$AC$7:$AC$200,$P155))</f>
      </c>
      <c r="P155" s="201">
        <f>IFERROR(MATCH(LARGE('_Datos'!$AJ$7:$AJ$200,ROW()-7+1),'_Datos'!$AJ$7:$AJ$200,0),"")</f>
      </c>
    </row>
    <row r="156">
      <c r="B156" s="203">
        <f>IF($P156="","",INDEX('_Datos'!$AB$7:$AB$200,$P156))</f>
      </c>
      <c r="C156" s="203">
        <f>IF($P156="","",INDEX('_Datos'!$AE$7:$AE$200,$P156))</f>
      </c>
      <c r="D156" s="204">
        <f>IF($P156="","",INDEX('_Datos'!$F$7:$F$200,$P156))</f>
      </c>
      <c r="E156" s="204">
        <f>IF($P156="","",INDEX('_Datos'!$G$7:$G$200,$P156))</f>
      </c>
      <c r="F156" s="205">
        <f>IF($P156="","",INDEX('_Datos'!$H$7:$H$200,$P156))</f>
      </c>
      <c r="G156" s="203">
        <f>IF($P156="","",INDEX('_Datos'!$J$7:$J$200,$P156))</f>
      </c>
      <c r="H156" s="207">
        <f>IF($P156="","",INDEX('_Datos'!$K$7:$K$200,$P156))</f>
      </c>
      <c r="I156" s="207">
        <f>IF($P156="","",INDEX('_Datos'!$S$7:$S$200,$P156))</f>
      </c>
      <c r="J156" s="207">
        <f>IF($P156="","",INDEX('_Datos'!$T$7:$T$200,$P156))</f>
      </c>
      <c r="K156" s="206">
        <f>IF($P156="","",INDEX('_Datos'!$V$7:$V$200,$P156))</f>
      </c>
      <c r="L156" s="207">
        <f>IF($P156="","",INDEX('_Datos'!$W$7:$W$200,$P156))</f>
      </c>
      <c r="M156" s="204">
        <f>IF($P156="","",INDEX('_Datos'!$AC$7:$AC$200,$P156))</f>
      </c>
      <c r="P156" s="201">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AN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0"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Motivo</t>
        </is>
      </c>
      <c r="AI6" s="173" t="inlineStr">
        <is>
          <t xml:space="preserve">ClaveAud</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row>
    <row r="7">
      <c r="A7" s="201">
        <f>ROW()</f>
      </c>
      <c r="B7" s="201">
        <f>ISTEXT('Proyecto Datos (OKR´s)'!$K7)</f>
      </c>
      <c r="C7" s="201">
        <f>AND(LEN('Proyecto Datos (OKR´s)'!$G7)&gt;0,NOT($B7),OR(ISNUMBER('Proyecto Datos (OKR´s)'!$F7),ISNUMBER('Proyecto Datos (OKR´s)'!$L7)))</f>
      </c>
      <c r="D7" s="202">
        <f>IF($C7,IFERROR(LOOKUP(2,1/((ISTEXT('Proyecto Datos (OKR´s)'!$K$7:$K7))*(LEN('Proyecto Datos (OKR´s)'!$G$7:$G7)&gt;0)),'Proyecto Datos (OKR´s)'!$G$7:$G7),""),"")</f>
      </c>
      <c r="E7" s="201">
        <f>IF($C7,'Proyecto Datos (OKR´s)'!$E7,"")</f>
      </c>
      <c r="F7" s="202">
        <f>IF($C7,'Proyecto Datos (OKR´s)'!$G7,"")</f>
      </c>
      <c r="G7" s="202">
        <f>IF($C7,IF('Proyecto Datos (OKR´s)'!$I7="","(Sin asignar)",'Proyecto Datos (OKR´s)'!$I7),"")</f>
      </c>
      <c r="H7" s="201">
        <f>IF($C7,IF(ISNUMBER('Proyecto Datos (OKR´s)'!$F7),'Proyecto Datos (OKR´s)'!$F7,'Proyecto Datos (OKR´s)'!$L7),"")</f>
      </c>
      <c r="I7" s="201">
        <f>IF($C7,'Proyecto Datos (OKR´s)'!$J7,"")</f>
      </c>
      <c r="J7" s="202">
        <f>IF($C7,IF($I7&gt;=1,"Completado",IF($H7&lt;TODAY(),"Vencido",IF(($H7-TODAY())&lt;='Entregas Próximas'!$M$3,"Próximo a vencer","En curso"))),"")</f>
      </c>
      <c r="K7" s="201">
        <f>IF($C7,$H7-TODAY(),"")</f>
      </c>
      <c r="L7" s="201">
        <f>IF($C7,$AD7*1000000+$H7+ROW()/100000,"")</f>
      </c>
      <c r="M7" s="201">
        <f>IF($C7,IF($AD7=9999,"(Sin sprint)",$AD7),"")</f>
      </c>
      <c r="N7" s="201">
        <f>IF($C7,IF('Proyecto Datos (OKR´s)'!$E7="",9999,'Proyecto Datos (OKR´s)'!$E7),"")</f>
      </c>
      <c r="O7" s="201">
        <f>IF($C7,"T"&amp;TEXT(ROW(),"000"),"")</f>
      </c>
      <c r="P7" s="201">
        <f>ROW()-6</f>
      </c>
      <c r="Q7" s="201">
        <f>IF(COUNTIF($AD$7:$AD$200,$P7)&gt;0,$P7,"")</f>
      </c>
      <c r="R7" s="201">
        <f>IF($C7,IF(ISNUMBER('Proyecto Datos (OKR´s)'!$L7),'Proyecto Datos (OKR´s)'!$L7,$H7),"")</f>
      </c>
      <c r="S7" s="201">
        <f>IF($C7,$R7-'Proyecto Datos (OKR´s)'!$K7+1,"")</f>
      </c>
      <c r="T7" s="201">
        <f>IF($C7,MAX(0,TODAY()-'Proyecto Datos (OKR´s)'!$K7),"")</f>
      </c>
      <c r="U7" s="201">
        <f>IF($C7,MEDIAN(0,(TODAY()-'Proyecto Datos (OKR´s)'!$K7)/MAX(1,$R7-'Proyecto Datos (OKR´s)'!$K7),1),"")</f>
      </c>
      <c r="V7" s="201">
        <f>IF($C7,$I7-$U7,"")</f>
      </c>
      <c r="W7" s="201">
        <f>IF($C7,IF($J7="Completado",0,MAX(0,TODAY()-$H7)),"")</f>
      </c>
      <c r="X7" s="201">
        <f>IF($C7,IF(ISNUMBER($H7),$R7-$H7,0),"")</f>
      </c>
      <c r="Y7" s="201">
        <f>IF($C7,COUNTIFS($G$7:$G$200,$G7,$J$7:$J$200,"&lt;&gt;Completado",$J$7:$J$200,"&lt;&gt;"),"")</f>
      </c>
      <c r="Z7" s="201">
        <f>IF($C7,AND($I7=0,'Proyecto Datos (OKR´s)'!$K7&lt;=TODAY(),$J7&lt;&gt;"Completado"),"")</f>
      </c>
      <c r="AA7" s="201">
        <f>IF($C7,ROUND(100*(0.35*$AK7+0.3*$AL7+0.2*$AM7+0.15*MEDIAN(0,($Y7-4)/8,1)),0),"")</f>
      </c>
      <c r="AB7" s="202">
        <f>IF($C7,IF($J7="Completado","—",IF($AA7&gt;=70,"Crítica",IF($AA7&gt;=45,"Alta",IF($AA7&gt;=25,"Media","Baja")))),"")</f>
      </c>
      <c r="AC7" s="202">
        <f>IF($C7,IF(LEN(TRIM($AN7))=0,"—",TRIM($AN7)),"")</f>
      </c>
      <c r="AD7" s="201">
        <f>IF($C7,IF($N7=9999,9999,IF($J7="Completado",$N7,MAX($N7,'Historial de Sprints'!$C$7))),"")</f>
      </c>
      <c r="AE7" s="201">
        <f>IF($C7,IF($AD7=9999,"(Sin sprint)",$AD7),"")</f>
      </c>
      <c r="AF7" s="201">
        <f>IF($C7,AND($N7&lt;&gt;9999,$AD7&lt;&gt;$N7),FALSE)</f>
      </c>
      <c r="AG7" s="201">
        <f>IF($AF7,'Historial de Sprints'!$C$5+$N7*'Historial de Sprints'!$C$6-1,"")</f>
      </c>
      <c r="AH7" s="202">
        <f>IF($AF7,"No completada al cierre del Sprint "&amp;$N7&amp;" -&gt; reasignada al Sprint "&amp;$AD7,"")</f>
      </c>
      <c r="AI7" s="201">
        <f>IF($AF7,$N7*100000+ROW(),"")</f>
      </c>
      <c r="AJ7" s="201">
        <f>IF($C7,$AA7*1000000-MEDIAN(-9999,$K7,9999)*100+(300-ROW()),"")</f>
      </c>
      <c r="AK7" s="201">
        <f>IF($C7,IF($J7="Completado",0,IF($K7&lt;0,1,IF($K7&lt;=3,0.9,IF($K7&lt;=7,0.7,IF($K7&lt;=14,0.45,0.2))))),"")</f>
      </c>
      <c r="AL7" s="201">
        <f>IF($C7,IF($J7="Completado",0,MEDIAN(0,MAX(-$V7,$W7/30),1)),"")</f>
      </c>
      <c r="AM7" s="201">
        <f>IF($C7,IF($J7="Completado",0,IF($Z7,1,IF(AND($I7&lt;0.5,$K7&lt;=7),0.7,0.3))),"")</f>
      </c>
      <c r="AN7" s="202">
        <f>IF($C7,IF(OR($V7&lt;-0.2,$W7&gt;0),"ATRASO ","")&amp;IF($Z7,"BLOQUEO ","")&amp;IF($Y7&gt;8,"SOBRECARGA ","")&amp;IF($X7&gt;0,"DESVÍO-PLAN ",""),"")</f>
      </c>
    </row>
    <row r="8">
      <c r="A8" s="201">
        <f>ROW()</f>
      </c>
      <c r="B8" s="201">
        <f>ISTEXT('Proyecto Datos (OKR´s)'!$K8)</f>
      </c>
      <c r="C8" s="201">
        <f>AND(LEN('Proyecto Datos (OKR´s)'!$G8)&gt;0,NOT($B8),OR(ISNUMBER('Proyecto Datos (OKR´s)'!$F8),ISNUMBER('Proyecto Datos (OKR´s)'!$L8)))</f>
      </c>
      <c r="D8" s="202">
        <f>IF($C8,IFERROR(LOOKUP(2,1/((ISTEXT('Proyecto Datos (OKR´s)'!$K$7:$K8))*(LEN('Proyecto Datos (OKR´s)'!$G$7:$G8)&gt;0)),'Proyecto Datos (OKR´s)'!$G$7:$G8),""),"")</f>
      </c>
      <c r="E8" s="201">
        <f>IF($C8,'Proyecto Datos (OKR´s)'!$E8,"")</f>
      </c>
      <c r="F8" s="202">
        <f>IF($C8,'Proyecto Datos (OKR´s)'!$G8,"")</f>
      </c>
      <c r="G8" s="202">
        <f>IF($C8,IF('Proyecto Datos (OKR´s)'!$I8="","(Sin asignar)",'Proyecto Datos (OKR´s)'!$I8),"")</f>
      </c>
      <c r="H8" s="201">
        <f>IF($C8,IF(ISNUMBER('Proyecto Datos (OKR´s)'!$F8),'Proyecto Datos (OKR´s)'!$F8,'Proyecto Datos (OKR´s)'!$L8),"")</f>
      </c>
      <c r="I8" s="201">
        <f>IF($C8,'Proyecto Datos (OKR´s)'!$J8,"")</f>
      </c>
      <c r="J8" s="202">
        <f>IF($C8,IF($I8&gt;=1,"Completado",IF($H8&lt;TODAY(),"Vencido",IF(($H8-TODAY())&lt;='Entregas Próximas'!$M$3,"Próximo a vencer","En curso"))),"")</f>
      </c>
      <c r="K8" s="201">
        <f>IF($C8,$H8-TODAY(),"")</f>
      </c>
      <c r="L8" s="201">
        <f>IF($C8,$AD8*1000000+$H8+ROW()/100000,"")</f>
      </c>
      <c r="M8" s="201">
        <f>IF($C8,IF($AD8=9999,"(Sin sprint)",$AD8),"")</f>
      </c>
      <c r="N8" s="201">
        <f>IF($C8,IF('Proyecto Datos (OKR´s)'!$E8="",9999,'Proyecto Datos (OKR´s)'!$E8),"")</f>
      </c>
      <c r="O8" s="201">
        <f>IF($C8,"T"&amp;TEXT(ROW(),"000"),"")</f>
      </c>
      <c r="P8" s="201">
        <f>ROW()-6</f>
      </c>
      <c r="Q8" s="201">
        <f>IF(COUNTIF($AD$7:$AD$200,$P8)&gt;0,$P8,"")</f>
      </c>
      <c r="R8" s="201">
        <f>IF($C8,IF(ISNUMBER('Proyecto Datos (OKR´s)'!$L8),'Proyecto Datos (OKR´s)'!$L8,$H8),"")</f>
      </c>
      <c r="S8" s="201">
        <f>IF($C8,$R8-'Proyecto Datos (OKR´s)'!$K8+1,"")</f>
      </c>
      <c r="T8" s="201">
        <f>IF($C8,MAX(0,TODAY()-'Proyecto Datos (OKR´s)'!$K8),"")</f>
      </c>
      <c r="U8" s="201">
        <f>IF($C8,MEDIAN(0,(TODAY()-'Proyecto Datos (OKR´s)'!$K8)/MAX(1,$R8-'Proyecto Datos (OKR´s)'!$K8),1),"")</f>
      </c>
      <c r="V8" s="201">
        <f>IF($C8,$I8-$U8,"")</f>
      </c>
      <c r="W8" s="201">
        <f>IF($C8,IF($J8="Completado",0,MAX(0,TODAY()-$H8)),"")</f>
      </c>
      <c r="X8" s="201">
        <f>IF($C8,IF(ISNUMBER($H8),$R8-$H8,0),"")</f>
      </c>
      <c r="Y8" s="201">
        <f>IF($C8,COUNTIFS($G$7:$G$200,$G8,$J$7:$J$200,"&lt;&gt;Completado",$J$7:$J$200,"&lt;&gt;"),"")</f>
      </c>
      <c r="Z8" s="201">
        <f>IF($C8,AND($I8=0,'Proyecto Datos (OKR´s)'!$K8&lt;=TODAY(),$J8&lt;&gt;"Completado"),"")</f>
      </c>
      <c r="AA8" s="201">
        <f>IF($C8,ROUND(100*(0.35*$AK8+0.3*$AL8+0.2*$AM8+0.15*MEDIAN(0,($Y8-4)/8,1)),0),"")</f>
      </c>
      <c r="AB8" s="202">
        <f>IF($C8,IF($J8="Completado","—",IF($AA8&gt;=70,"Crítica",IF($AA8&gt;=45,"Alta",IF($AA8&gt;=25,"Media","Baja")))),"")</f>
      </c>
      <c r="AC8" s="202">
        <f>IF($C8,IF(LEN(TRIM($AN8))=0,"—",TRIM($AN8)),"")</f>
      </c>
      <c r="AD8" s="201">
        <f>IF($C8,IF($N8=9999,9999,IF($J8="Completado",$N8,MAX($N8,'Historial de Sprints'!$C$7))),"")</f>
      </c>
      <c r="AE8" s="201">
        <f>IF($C8,IF($AD8=9999,"(Sin sprint)",$AD8),"")</f>
      </c>
      <c r="AF8" s="201">
        <f>IF($C8,AND($N8&lt;&gt;9999,$AD8&lt;&gt;$N8),FALSE)</f>
      </c>
      <c r="AG8" s="201">
        <f>IF($AF8,'Historial de Sprints'!$C$5+$N8*'Historial de Sprints'!$C$6-1,"")</f>
      </c>
      <c r="AH8" s="202">
        <f>IF($AF8,"No completada al cierre del Sprint "&amp;$N8&amp;" -&gt; reasignada al Sprint "&amp;$AD8,"")</f>
      </c>
      <c r="AI8" s="201">
        <f>IF($AF8,$N8*100000+ROW(),"")</f>
      </c>
      <c r="AJ8" s="201">
        <f>IF($C8,$AA8*1000000-MEDIAN(-9999,$K8,9999)*100+(300-ROW()),"")</f>
      </c>
      <c r="AK8" s="201">
        <f>IF($C8,IF($J8="Completado",0,IF($K8&lt;0,1,IF($K8&lt;=3,0.9,IF($K8&lt;=7,0.7,IF($K8&lt;=14,0.45,0.2))))),"")</f>
      </c>
      <c r="AL8" s="201">
        <f>IF($C8,IF($J8="Completado",0,MEDIAN(0,MAX(-$V8,$W8/30),1)),"")</f>
      </c>
      <c r="AM8" s="201">
        <f>IF($C8,IF($J8="Completado",0,IF($Z8,1,IF(AND($I8&lt;0.5,$K8&lt;=7),0.7,0.3))),"")</f>
      </c>
      <c r="AN8" s="202">
        <f>IF($C8,IF(OR($V8&lt;-0.2,$W8&gt;0),"ATRASO ","")&amp;IF($Z8,"BLOQUEO ","")&amp;IF($Y8&gt;8,"SOBRECARGA ","")&amp;IF($X8&gt;0,"DESVÍO-PLAN ",""),"")</f>
      </c>
    </row>
    <row r="9">
      <c r="A9" s="201">
        <f>ROW()</f>
      </c>
      <c r="B9" s="201">
        <f>ISTEXT('Proyecto Datos (OKR´s)'!$K9)</f>
      </c>
      <c r="C9" s="201">
        <f>AND(LEN('Proyecto Datos (OKR´s)'!$G9)&gt;0,NOT($B9),OR(ISNUMBER('Proyecto Datos (OKR´s)'!$F9),ISNUMBER('Proyecto Datos (OKR´s)'!$L9)))</f>
      </c>
      <c r="D9" s="202">
        <f>IF($C9,IFERROR(LOOKUP(2,1/((ISTEXT('Proyecto Datos (OKR´s)'!$K$7:$K9))*(LEN('Proyecto Datos (OKR´s)'!$G$7:$G9)&gt;0)),'Proyecto Datos (OKR´s)'!$G$7:$G9),""),"")</f>
      </c>
      <c r="E9" s="201">
        <f>IF($C9,'Proyecto Datos (OKR´s)'!$E9,"")</f>
      </c>
      <c r="F9" s="202">
        <f>IF($C9,'Proyecto Datos (OKR´s)'!$G9,"")</f>
      </c>
      <c r="G9" s="202">
        <f>IF($C9,IF('Proyecto Datos (OKR´s)'!$I9="","(Sin asignar)",'Proyecto Datos (OKR´s)'!$I9),"")</f>
      </c>
      <c r="H9" s="201">
        <f>IF($C9,IF(ISNUMBER('Proyecto Datos (OKR´s)'!$F9),'Proyecto Datos (OKR´s)'!$F9,'Proyecto Datos (OKR´s)'!$L9),"")</f>
      </c>
      <c r="I9" s="201">
        <f>IF($C9,'Proyecto Datos (OKR´s)'!$J9,"")</f>
      </c>
      <c r="J9" s="202">
        <f>IF($C9,IF($I9&gt;=1,"Completado",IF($H9&lt;TODAY(),"Vencido",IF(($H9-TODAY())&lt;='Entregas Próximas'!$M$3,"Próximo a vencer","En curso"))),"")</f>
      </c>
      <c r="K9" s="201">
        <f>IF($C9,$H9-TODAY(),"")</f>
      </c>
      <c r="L9" s="201">
        <f>IF($C9,$AD9*1000000+$H9+ROW()/100000,"")</f>
      </c>
      <c r="M9" s="201">
        <f>IF($C9,IF($AD9=9999,"(Sin sprint)",$AD9),"")</f>
      </c>
      <c r="N9" s="201">
        <f>IF($C9,IF('Proyecto Datos (OKR´s)'!$E9="",9999,'Proyecto Datos (OKR´s)'!$E9),"")</f>
      </c>
      <c r="O9" s="201">
        <f>IF($C9,"T"&amp;TEXT(ROW(),"000"),"")</f>
      </c>
      <c r="P9" s="201">
        <f>ROW()-6</f>
      </c>
      <c r="Q9" s="201">
        <f>IF(COUNTIF($AD$7:$AD$200,$P9)&gt;0,$P9,"")</f>
      </c>
      <c r="R9" s="201">
        <f>IF($C9,IF(ISNUMBER('Proyecto Datos (OKR´s)'!$L9),'Proyecto Datos (OKR´s)'!$L9,$H9),"")</f>
      </c>
      <c r="S9" s="201">
        <f>IF($C9,$R9-'Proyecto Datos (OKR´s)'!$K9+1,"")</f>
      </c>
      <c r="T9" s="201">
        <f>IF($C9,MAX(0,TODAY()-'Proyecto Datos (OKR´s)'!$K9),"")</f>
      </c>
      <c r="U9" s="201">
        <f>IF($C9,MEDIAN(0,(TODAY()-'Proyecto Datos (OKR´s)'!$K9)/MAX(1,$R9-'Proyecto Datos (OKR´s)'!$K9),1),"")</f>
      </c>
      <c r="V9" s="201">
        <f>IF($C9,$I9-$U9,"")</f>
      </c>
      <c r="W9" s="201">
        <f>IF($C9,IF($J9="Completado",0,MAX(0,TODAY()-$H9)),"")</f>
      </c>
      <c r="X9" s="201">
        <f>IF($C9,IF(ISNUMBER($H9),$R9-$H9,0),"")</f>
      </c>
      <c r="Y9" s="201">
        <f>IF($C9,COUNTIFS($G$7:$G$200,$G9,$J$7:$J$200,"&lt;&gt;Completado",$J$7:$J$200,"&lt;&gt;"),"")</f>
      </c>
      <c r="Z9" s="201">
        <f>IF($C9,AND($I9=0,'Proyecto Datos (OKR´s)'!$K9&lt;=TODAY(),$J9&lt;&gt;"Completado"),"")</f>
      </c>
      <c r="AA9" s="201">
        <f>IF($C9,ROUND(100*(0.35*$AK9+0.3*$AL9+0.2*$AM9+0.15*MEDIAN(0,($Y9-4)/8,1)),0),"")</f>
      </c>
      <c r="AB9" s="202">
        <f>IF($C9,IF($J9="Completado","—",IF($AA9&gt;=70,"Crítica",IF($AA9&gt;=45,"Alta",IF($AA9&gt;=25,"Media","Baja")))),"")</f>
      </c>
      <c r="AC9" s="202">
        <f>IF($C9,IF(LEN(TRIM($AN9))=0,"—",TRIM($AN9)),"")</f>
      </c>
      <c r="AD9" s="201">
        <f>IF($C9,IF($N9=9999,9999,IF($J9="Completado",$N9,MAX($N9,'Historial de Sprints'!$C$7))),"")</f>
      </c>
      <c r="AE9" s="201">
        <f>IF($C9,IF($AD9=9999,"(Sin sprint)",$AD9),"")</f>
      </c>
      <c r="AF9" s="201">
        <f>IF($C9,AND($N9&lt;&gt;9999,$AD9&lt;&gt;$N9),FALSE)</f>
      </c>
      <c r="AG9" s="201">
        <f>IF($AF9,'Historial de Sprints'!$C$5+$N9*'Historial de Sprints'!$C$6-1,"")</f>
      </c>
      <c r="AH9" s="202">
        <f>IF($AF9,"No completada al cierre del Sprint "&amp;$N9&amp;" -&gt; reasignada al Sprint "&amp;$AD9,"")</f>
      </c>
      <c r="AI9" s="201">
        <f>IF($AF9,$N9*100000+ROW(),"")</f>
      </c>
      <c r="AJ9" s="201">
        <f>IF($C9,$AA9*1000000-MEDIAN(-9999,$K9,9999)*100+(300-ROW()),"")</f>
      </c>
      <c r="AK9" s="201">
        <f>IF($C9,IF($J9="Completado",0,IF($K9&lt;0,1,IF($K9&lt;=3,0.9,IF($K9&lt;=7,0.7,IF($K9&lt;=14,0.45,0.2))))),"")</f>
      </c>
      <c r="AL9" s="201">
        <f>IF($C9,IF($J9="Completado",0,MEDIAN(0,MAX(-$V9,$W9/30),1)),"")</f>
      </c>
      <c r="AM9" s="201">
        <f>IF($C9,IF($J9="Completado",0,IF($Z9,1,IF(AND($I9&lt;0.5,$K9&lt;=7),0.7,0.3))),"")</f>
      </c>
      <c r="AN9" s="202">
        <f>IF($C9,IF(OR($V9&lt;-0.2,$W9&gt;0),"ATRASO ","")&amp;IF($Z9,"BLOQUEO ","")&amp;IF($Y9&gt;8,"SOBRECARGA ","")&amp;IF($X9&gt;0,"DESVÍO-PLAN ",""),"")</f>
      </c>
    </row>
    <row r="10">
      <c r="A10" s="201">
        <f>ROW()</f>
      </c>
      <c r="B10" s="201">
        <f>ISTEXT('Proyecto Datos (OKR´s)'!$K10)</f>
      </c>
      <c r="C10" s="201">
        <f>AND(LEN('Proyecto Datos (OKR´s)'!$G10)&gt;0,NOT($B10),OR(ISNUMBER('Proyecto Datos (OKR´s)'!$F10),ISNUMBER('Proyecto Datos (OKR´s)'!$L10)))</f>
      </c>
      <c r="D10" s="202">
        <f>IF($C10,IFERROR(LOOKUP(2,1/((ISTEXT('Proyecto Datos (OKR´s)'!$K$7:$K10))*(LEN('Proyecto Datos (OKR´s)'!$G$7:$G10)&gt;0)),'Proyecto Datos (OKR´s)'!$G$7:$G10),""),"")</f>
      </c>
      <c r="E10" s="201">
        <f>IF($C10,'Proyecto Datos (OKR´s)'!$E10,"")</f>
      </c>
      <c r="F10" s="202">
        <f>IF($C10,'Proyecto Datos (OKR´s)'!$G10,"")</f>
      </c>
      <c r="G10" s="202">
        <f>IF($C10,IF('Proyecto Datos (OKR´s)'!$I10="","(Sin asignar)",'Proyecto Datos (OKR´s)'!$I10),"")</f>
      </c>
      <c r="H10" s="201">
        <f>IF($C10,IF(ISNUMBER('Proyecto Datos (OKR´s)'!$F10),'Proyecto Datos (OKR´s)'!$F10,'Proyecto Datos (OKR´s)'!$L10),"")</f>
      </c>
      <c r="I10" s="201">
        <f>IF($C10,'Proyecto Datos (OKR´s)'!$J10,"")</f>
      </c>
      <c r="J10" s="202">
        <f>IF($C10,IF($I10&gt;=1,"Completado",IF($H10&lt;TODAY(),"Vencido",IF(($H10-TODAY())&lt;='Entregas Próximas'!$M$3,"Próximo a vencer","En curso"))),"")</f>
      </c>
      <c r="K10" s="201">
        <f>IF($C10,$H10-TODAY(),"")</f>
      </c>
      <c r="L10" s="201">
        <f>IF($C10,$AD10*1000000+$H10+ROW()/100000,"")</f>
      </c>
      <c r="M10" s="201">
        <f>IF($C10,IF($AD10=9999,"(Sin sprint)",$AD10),"")</f>
      </c>
      <c r="N10" s="201">
        <f>IF($C10,IF('Proyecto Datos (OKR´s)'!$E10="",9999,'Proyecto Datos (OKR´s)'!$E10),"")</f>
      </c>
      <c r="O10" s="201">
        <f>IF($C10,"T"&amp;TEXT(ROW(),"000"),"")</f>
      </c>
      <c r="P10" s="201">
        <f>ROW()-6</f>
      </c>
      <c r="Q10" s="201">
        <f>IF(COUNTIF($AD$7:$AD$200,$P10)&gt;0,$P10,"")</f>
      </c>
      <c r="R10" s="201">
        <f>IF($C10,IF(ISNUMBER('Proyecto Datos (OKR´s)'!$L10),'Proyecto Datos (OKR´s)'!$L10,$H10),"")</f>
      </c>
      <c r="S10" s="201">
        <f>IF($C10,$R10-'Proyecto Datos (OKR´s)'!$K10+1,"")</f>
      </c>
      <c r="T10" s="201">
        <f>IF($C10,MAX(0,TODAY()-'Proyecto Datos (OKR´s)'!$K10),"")</f>
      </c>
      <c r="U10" s="201">
        <f>IF($C10,MEDIAN(0,(TODAY()-'Proyecto Datos (OKR´s)'!$K10)/MAX(1,$R10-'Proyecto Datos (OKR´s)'!$K10),1),"")</f>
      </c>
      <c r="V10" s="201">
        <f>IF($C10,$I10-$U10,"")</f>
      </c>
      <c r="W10" s="201">
        <f>IF($C10,IF($J10="Completado",0,MAX(0,TODAY()-$H10)),"")</f>
      </c>
      <c r="X10" s="201">
        <f>IF($C10,IF(ISNUMBER($H10),$R10-$H10,0),"")</f>
      </c>
      <c r="Y10" s="201">
        <f>IF($C10,COUNTIFS($G$7:$G$200,$G10,$J$7:$J$200,"&lt;&gt;Completado",$J$7:$J$200,"&lt;&gt;"),"")</f>
      </c>
      <c r="Z10" s="201">
        <f>IF($C10,AND($I10=0,'Proyecto Datos (OKR´s)'!$K10&lt;=TODAY(),$J10&lt;&gt;"Completado"),"")</f>
      </c>
      <c r="AA10" s="201">
        <f>IF($C10,ROUND(100*(0.35*$AK10+0.3*$AL10+0.2*$AM10+0.15*MEDIAN(0,($Y10-4)/8,1)),0),"")</f>
      </c>
      <c r="AB10" s="202">
        <f>IF($C10,IF($J10="Completado","—",IF($AA10&gt;=70,"Crítica",IF($AA10&gt;=45,"Alta",IF($AA10&gt;=25,"Media","Baja")))),"")</f>
      </c>
      <c r="AC10" s="202">
        <f>IF($C10,IF(LEN(TRIM($AN10))=0,"—",TRIM($AN10)),"")</f>
      </c>
      <c r="AD10" s="201">
        <f>IF($C10,IF($N10=9999,9999,IF($J10="Completado",$N10,MAX($N10,'Historial de Sprints'!$C$7))),"")</f>
      </c>
      <c r="AE10" s="201">
        <f>IF($C10,IF($AD10=9999,"(Sin sprint)",$AD10),"")</f>
      </c>
      <c r="AF10" s="201">
        <f>IF($C10,AND($N10&lt;&gt;9999,$AD10&lt;&gt;$N10),FALSE)</f>
      </c>
      <c r="AG10" s="201">
        <f>IF($AF10,'Historial de Sprints'!$C$5+$N10*'Historial de Sprints'!$C$6-1,"")</f>
      </c>
      <c r="AH10" s="202">
        <f>IF($AF10,"No completada al cierre del Sprint "&amp;$N10&amp;" -&gt; reasignada al Sprint "&amp;$AD10,"")</f>
      </c>
      <c r="AI10" s="201">
        <f>IF($AF10,$N10*100000+ROW(),"")</f>
      </c>
      <c r="AJ10" s="201">
        <f>IF($C10,$AA10*1000000-MEDIAN(-9999,$K10,9999)*100+(300-ROW()),"")</f>
      </c>
      <c r="AK10" s="201">
        <f>IF($C10,IF($J10="Completado",0,IF($K10&lt;0,1,IF($K10&lt;=3,0.9,IF($K10&lt;=7,0.7,IF($K10&lt;=14,0.45,0.2))))),"")</f>
      </c>
      <c r="AL10" s="201">
        <f>IF($C10,IF($J10="Completado",0,MEDIAN(0,MAX(-$V10,$W10/30),1)),"")</f>
      </c>
      <c r="AM10" s="201">
        <f>IF($C10,IF($J10="Completado",0,IF($Z10,1,IF(AND($I10&lt;0.5,$K10&lt;=7),0.7,0.3))),"")</f>
      </c>
      <c r="AN10" s="202">
        <f>IF($C10,IF(OR($V10&lt;-0.2,$W10&gt;0),"ATRASO ","")&amp;IF($Z10,"BLOQUEO ","")&amp;IF($Y10&gt;8,"SOBRECARGA ","")&amp;IF($X10&gt;0,"DESVÍO-PLAN ",""),"")</f>
      </c>
    </row>
    <row r="11">
      <c r="A11" s="201">
        <f>ROW()</f>
      </c>
      <c r="B11" s="201">
        <f>ISTEXT('Proyecto Datos (OKR´s)'!$K11)</f>
      </c>
      <c r="C11" s="201">
        <f>AND(LEN('Proyecto Datos (OKR´s)'!$G11)&gt;0,NOT($B11),OR(ISNUMBER('Proyecto Datos (OKR´s)'!$F11),ISNUMBER('Proyecto Datos (OKR´s)'!$L11)))</f>
      </c>
      <c r="D11" s="202">
        <f>IF($C11,IFERROR(LOOKUP(2,1/((ISTEXT('Proyecto Datos (OKR´s)'!$K$7:$K11))*(LEN('Proyecto Datos (OKR´s)'!$G$7:$G11)&gt;0)),'Proyecto Datos (OKR´s)'!$G$7:$G11),""),"")</f>
      </c>
      <c r="E11" s="201">
        <f>IF($C11,'Proyecto Datos (OKR´s)'!$E11,"")</f>
      </c>
      <c r="F11" s="202">
        <f>IF($C11,'Proyecto Datos (OKR´s)'!$G11,"")</f>
      </c>
      <c r="G11" s="202">
        <f>IF($C11,IF('Proyecto Datos (OKR´s)'!$I11="","(Sin asignar)",'Proyecto Datos (OKR´s)'!$I11),"")</f>
      </c>
      <c r="H11" s="201">
        <f>IF($C11,IF(ISNUMBER('Proyecto Datos (OKR´s)'!$F11),'Proyecto Datos (OKR´s)'!$F11,'Proyecto Datos (OKR´s)'!$L11),"")</f>
      </c>
      <c r="I11" s="201">
        <f>IF($C11,'Proyecto Datos (OKR´s)'!$J11,"")</f>
      </c>
      <c r="J11" s="202">
        <f>IF($C11,IF($I11&gt;=1,"Completado",IF($H11&lt;TODAY(),"Vencido",IF(($H11-TODAY())&lt;='Entregas Próximas'!$M$3,"Próximo a vencer","En curso"))),"")</f>
      </c>
      <c r="K11" s="201">
        <f>IF($C11,$H11-TODAY(),"")</f>
      </c>
      <c r="L11" s="201">
        <f>IF($C11,$AD11*1000000+$H11+ROW()/100000,"")</f>
      </c>
      <c r="M11" s="201">
        <f>IF($C11,IF($AD11=9999,"(Sin sprint)",$AD11),"")</f>
      </c>
      <c r="N11" s="201">
        <f>IF($C11,IF('Proyecto Datos (OKR´s)'!$E11="",9999,'Proyecto Datos (OKR´s)'!$E11),"")</f>
      </c>
      <c r="O11" s="201">
        <f>IF($C11,"T"&amp;TEXT(ROW(),"000"),"")</f>
      </c>
      <c r="P11" s="201">
        <f>ROW()-6</f>
      </c>
      <c r="Q11" s="201">
        <f>IF(COUNTIF($AD$7:$AD$200,$P11)&gt;0,$P11,"")</f>
      </c>
      <c r="R11" s="201">
        <f>IF($C11,IF(ISNUMBER('Proyecto Datos (OKR´s)'!$L11),'Proyecto Datos (OKR´s)'!$L11,$H11),"")</f>
      </c>
      <c r="S11" s="201">
        <f>IF($C11,$R11-'Proyecto Datos (OKR´s)'!$K11+1,"")</f>
      </c>
      <c r="T11" s="201">
        <f>IF($C11,MAX(0,TODAY()-'Proyecto Datos (OKR´s)'!$K11),"")</f>
      </c>
      <c r="U11" s="201">
        <f>IF($C11,MEDIAN(0,(TODAY()-'Proyecto Datos (OKR´s)'!$K11)/MAX(1,$R11-'Proyecto Datos (OKR´s)'!$K11),1),"")</f>
      </c>
      <c r="V11" s="201">
        <f>IF($C11,$I11-$U11,"")</f>
      </c>
      <c r="W11" s="201">
        <f>IF($C11,IF($J11="Completado",0,MAX(0,TODAY()-$H11)),"")</f>
      </c>
      <c r="X11" s="201">
        <f>IF($C11,IF(ISNUMBER($H11),$R11-$H11,0),"")</f>
      </c>
      <c r="Y11" s="201">
        <f>IF($C11,COUNTIFS($G$7:$G$200,$G11,$J$7:$J$200,"&lt;&gt;Completado",$J$7:$J$200,"&lt;&gt;"),"")</f>
      </c>
      <c r="Z11" s="201">
        <f>IF($C11,AND($I11=0,'Proyecto Datos (OKR´s)'!$K11&lt;=TODAY(),$J11&lt;&gt;"Completado"),"")</f>
      </c>
      <c r="AA11" s="201">
        <f>IF($C11,ROUND(100*(0.35*$AK11+0.3*$AL11+0.2*$AM11+0.15*MEDIAN(0,($Y11-4)/8,1)),0),"")</f>
      </c>
      <c r="AB11" s="202">
        <f>IF($C11,IF($J11="Completado","—",IF($AA11&gt;=70,"Crítica",IF($AA11&gt;=45,"Alta",IF($AA11&gt;=25,"Media","Baja")))),"")</f>
      </c>
      <c r="AC11" s="202">
        <f>IF($C11,IF(LEN(TRIM($AN11))=0,"—",TRIM($AN11)),"")</f>
      </c>
      <c r="AD11" s="201">
        <f>IF($C11,IF($N11=9999,9999,IF($J11="Completado",$N11,MAX($N11,'Historial de Sprints'!$C$7))),"")</f>
      </c>
      <c r="AE11" s="201">
        <f>IF($C11,IF($AD11=9999,"(Sin sprint)",$AD11),"")</f>
      </c>
      <c r="AF11" s="201">
        <f>IF($C11,AND($N11&lt;&gt;9999,$AD11&lt;&gt;$N11),FALSE)</f>
      </c>
      <c r="AG11" s="201">
        <f>IF($AF11,'Historial de Sprints'!$C$5+$N11*'Historial de Sprints'!$C$6-1,"")</f>
      </c>
      <c r="AH11" s="202">
        <f>IF($AF11,"No completada al cierre del Sprint "&amp;$N11&amp;" -&gt; reasignada al Sprint "&amp;$AD11,"")</f>
      </c>
      <c r="AI11" s="201">
        <f>IF($AF11,$N11*100000+ROW(),"")</f>
      </c>
      <c r="AJ11" s="201">
        <f>IF($C11,$AA11*1000000-MEDIAN(-9999,$K11,9999)*100+(300-ROW()),"")</f>
      </c>
      <c r="AK11" s="201">
        <f>IF($C11,IF($J11="Completado",0,IF($K11&lt;0,1,IF($K11&lt;=3,0.9,IF($K11&lt;=7,0.7,IF($K11&lt;=14,0.45,0.2))))),"")</f>
      </c>
      <c r="AL11" s="201">
        <f>IF($C11,IF($J11="Completado",0,MEDIAN(0,MAX(-$V11,$W11/30),1)),"")</f>
      </c>
      <c r="AM11" s="201">
        <f>IF($C11,IF($J11="Completado",0,IF($Z11,1,IF(AND($I11&lt;0.5,$K11&lt;=7),0.7,0.3))),"")</f>
      </c>
      <c r="AN11" s="202">
        <f>IF($C11,IF(OR($V11&lt;-0.2,$W11&gt;0),"ATRASO ","")&amp;IF($Z11,"BLOQUEO ","")&amp;IF($Y11&gt;8,"SOBRECARGA ","")&amp;IF($X11&gt;0,"DESVÍO-PLAN ",""),"")</f>
      </c>
    </row>
    <row r="12">
      <c r="A12" s="201">
        <f>ROW()</f>
      </c>
      <c r="B12" s="201">
        <f>ISTEXT('Proyecto Datos (OKR´s)'!$K12)</f>
      </c>
      <c r="C12" s="201">
        <f>AND(LEN('Proyecto Datos (OKR´s)'!$G12)&gt;0,NOT($B12),OR(ISNUMBER('Proyecto Datos (OKR´s)'!$F12),ISNUMBER('Proyecto Datos (OKR´s)'!$L12)))</f>
      </c>
      <c r="D12" s="202">
        <f>IF($C12,IFERROR(LOOKUP(2,1/((ISTEXT('Proyecto Datos (OKR´s)'!$K$7:$K12))*(LEN('Proyecto Datos (OKR´s)'!$G$7:$G12)&gt;0)),'Proyecto Datos (OKR´s)'!$G$7:$G12),""),"")</f>
      </c>
      <c r="E12" s="201">
        <f>IF($C12,'Proyecto Datos (OKR´s)'!$E12,"")</f>
      </c>
      <c r="F12" s="202">
        <f>IF($C12,'Proyecto Datos (OKR´s)'!$G12,"")</f>
      </c>
      <c r="G12" s="202">
        <f>IF($C12,IF('Proyecto Datos (OKR´s)'!$I12="","(Sin asignar)",'Proyecto Datos (OKR´s)'!$I12),"")</f>
      </c>
      <c r="H12" s="201">
        <f>IF($C12,IF(ISNUMBER('Proyecto Datos (OKR´s)'!$F12),'Proyecto Datos (OKR´s)'!$F12,'Proyecto Datos (OKR´s)'!$L12),"")</f>
      </c>
      <c r="I12" s="201">
        <f>IF($C12,'Proyecto Datos (OKR´s)'!$J12,"")</f>
      </c>
      <c r="J12" s="202">
        <f>IF($C12,IF($I12&gt;=1,"Completado",IF($H12&lt;TODAY(),"Vencido",IF(($H12-TODAY())&lt;='Entregas Próximas'!$M$3,"Próximo a vencer","En curso"))),"")</f>
      </c>
      <c r="K12" s="201">
        <f>IF($C12,$H12-TODAY(),"")</f>
      </c>
      <c r="L12" s="201">
        <f>IF($C12,$AD12*1000000+$H12+ROW()/100000,"")</f>
      </c>
      <c r="M12" s="201">
        <f>IF($C12,IF($AD12=9999,"(Sin sprint)",$AD12),"")</f>
      </c>
      <c r="N12" s="201">
        <f>IF($C12,IF('Proyecto Datos (OKR´s)'!$E12="",9999,'Proyecto Datos (OKR´s)'!$E12),"")</f>
      </c>
      <c r="O12" s="201">
        <f>IF($C12,"T"&amp;TEXT(ROW(),"000"),"")</f>
      </c>
      <c r="P12" s="201">
        <f>ROW()-6</f>
      </c>
      <c r="Q12" s="201">
        <f>IF(COUNTIF($AD$7:$AD$200,$P12)&gt;0,$P12,"")</f>
      </c>
      <c r="R12" s="201">
        <f>IF($C12,IF(ISNUMBER('Proyecto Datos (OKR´s)'!$L12),'Proyecto Datos (OKR´s)'!$L12,$H12),"")</f>
      </c>
      <c r="S12" s="201">
        <f>IF($C12,$R12-'Proyecto Datos (OKR´s)'!$K12+1,"")</f>
      </c>
      <c r="T12" s="201">
        <f>IF($C12,MAX(0,TODAY()-'Proyecto Datos (OKR´s)'!$K12),"")</f>
      </c>
      <c r="U12" s="201">
        <f>IF($C12,MEDIAN(0,(TODAY()-'Proyecto Datos (OKR´s)'!$K12)/MAX(1,$R12-'Proyecto Datos (OKR´s)'!$K12),1),"")</f>
      </c>
      <c r="V12" s="201">
        <f>IF($C12,$I12-$U12,"")</f>
      </c>
      <c r="W12" s="201">
        <f>IF($C12,IF($J12="Completado",0,MAX(0,TODAY()-$H12)),"")</f>
      </c>
      <c r="X12" s="201">
        <f>IF($C12,IF(ISNUMBER($H12),$R12-$H12,0),"")</f>
      </c>
      <c r="Y12" s="201">
        <f>IF($C12,COUNTIFS($G$7:$G$200,$G12,$J$7:$J$200,"&lt;&gt;Completado",$J$7:$J$200,"&lt;&gt;"),"")</f>
      </c>
      <c r="Z12" s="201">
        <f>IF($C12,AND($I12=0,'Proyecto Datos (OKR´s)'!$K12&lt;=TODAY(),$J12&lt;&gt;"Completado"),"")</f>
      </c>
      <c r="AA12" s="201">
        <f>IF($C12,ROUND(100*(0.35*$AK12+0.3*$AL12+0.2*$AM12+0.15*MEDIAN(0,($Y12-4)/8,1)),0),"")</f>
      </c>
      <c r="AB12" s="202">
        <f>IF($C12,IF($J12="Completado","—",IF($AA12&gt;=70,"Crítica",IF($AA12&gt;=45,"Alta",IF($AA12&gt;=25,"Media","Baja")))),"")</f>
      </c>
      <c r="AC12" s="202">
        <f>IF($C12,IF(LEN(TRIM($AN12))=0,"—",TRIM($AN12)),"")</f>
      </c>
      <c r="AD12" s="201">
        <f>IF($C12,IF($N12=9999,9999,IF($J12="Completado",$N12,MAX($N12,'Historial de Sprints'!$C$7))),"")</f>
      </c>
      <c r="AE12" s="201">
        <f>IF($C12,IF($AD12=9999,"(Sin sprint)",$AD12),"")</f>
      </c>
      <c r="AF12" s="201">
        <f>IF($C12,AND($N12&lt;&gt;9999,$AD12&lt;&gt;$N12),FALSE)</f>
      </c>
      <c r="AG12" s="201">
        <f>IF($AF12,'Historial de Sprints'!$C$5+$N12*'Historial de Sprints'!$C$6-1,"")</f>
      </c>
      <c r="AH12" s="202">
        <f>IF($AF12,"No completada al cierre del Sprint "&amp;$N12&amp;" -&gt; reasignada al Sprint "&amp;$AD12,"")</f>
      </c>
      <c r="AI12" s="201">
        <f>IF($AF12,$N12*100000+ROW(),"")</f>
      </c>
      <c r="AJ12" s="201">
        <f>IF($C12,$AA12*1000000-MEDIAN(-9999,$K12,9999)*100+(300-ROW()),"")</f>
      </c>
      <c r="AK12" s="201">
        <f>IF($C12,IF($J12="Completado",0,IF($K12&lt;0,1,IF($K12&lt;=3,0.9,IF($K12&lt;=7,0.7,IF($K12&lt;=14,0.45,0.2))))),"")</f>
      </c>
      <c r="AL12" s="201">
        <f>IF($C12,IF($J12="Completado",0,MEDIAN(0,MAX(-$V12,$W12/30),1)),"")</f>
      </c>
      <c r="AM12" s="201">
        <f>IF($C12,IF($J12="Completado",0,IF($Z12,1,IF(AND($I12&lt;0.5,$K12&lt;=7),0.7,0.3))),"")</f>
      </c>
      <c r="AN12" s="202">
        <f>IF($C12,IF(OR($V12&lt;-0.2,$W12&gt;0),"ATRASO ","")&amp;IF($Z12,"BLOQUEO ","")&amp;IF($Y12&gt;8,"SOBRECARGA ","")&amp;IF($X12&gt;0,"DESVÍO-PLAN ",""),"")</f>
      </c>
    </row>
    <row r="13">
      <c r="A13" s="201">
        <f>ROW()</f>
      </c>
      <c r="B13" s="201">
        <f>ISTEXT('Proyecto Datos (OKR´s)'!$K13)</f>
      </c>
      <c r="C13" s="201">
        <f>AND(LEN('Proyecto Datos (OKR´s)'!$G13)&gt;0,NOT($B13),OR(ISNUMBER('Proyecto Datos (OKR´s)'!$F13),ISNUMBER('Proyecto Datos (OKR´s)'!$L13)))</f>
      </c>
      <c r="D13" s="202">
        <f>IF($C13,IFERROR(LOOKUP(2,1/((ISTEXT('Proyecto Datos (OKR´s)'!$K$7:$K13))*(LEN('Proyecto Datos (OKR´s)'!$G$7:$G13)&gt;0)),'Proyecto Datos (OKR´s)'!$G$7:$G13),""),"")</f>
      </c>
      <c r="E13" s="201">
        <f>IF($C13,'Proyecto Datos (OKR´s)'!$E13,"")</f>
      </c>
      <c r="F13" s="202">
        <f>IF($C13,'Proyecto Datos (OKR´s)'!$G13,"")</f>
      </c>
      <c r="G13" s="202">
        <f>IF($C13,IF('Proyecto Datos (OKR´s)'!$I13="","(Sin asignar)",'Proyecto Datos (OKR´s)'!$I13),"")</f>
      </c>
      <c r="H13" s="201">
        <f>IF($C13,IF(ISNUMBER('Proyecto Datos (OKR´s)'!$F13),'Proyecto Datos (OKR´s)'!$F13,'Proyecto Datos (OKR´s)'!$L13),"")</f>
      </c>
      <c r="I13" s="201">
        <f>IF($C13,'Proyecto Datos (OKR´s)'!$J13,"")</f>
      </c>
      <c r="J13" s="202">
        <f>IF($C13,IF($I13&gt;=1,"Completado",IF($H13&lt;TODAY(),"Vencido",IF(($H13-TODAY())&lt;='Entregas Próximas'!$M$3,"Próximo a vencer","En curso"))),"")</f>
      </c>
      <c r="K13" s="201">
        <f>IF($C13,$H13-TODAY(),"")</f>
      </c>
      <c r="L13" s="201">
        <f>IF($C13,$AD13*1000000+$H13+ROW()/100000,"")</f>
      </c>
      <c r="M13" s="201">
        <f>IF($C13,IF($AD13=9999,"(Sin sprint)",$AD13),"")</f>
      </c>
      <c r="N13" s="201">
        <f>IF($C13,IF('Proyecto Datos (OKR´s)'!$E13="",9999,'Proyecto Datos (OKR´s)'!$E13),"")</f>
      </c>
      <c r="O13" s="201">
        <f>IF($C13,"T"&amp;TEXT(ROW(),"000"),"")</f>
      </c>
      <c r="P13" s="201">
        <f>ROW()-6</f>
      </c>
      <c r="Q13" s="201">
        <f>IF(COUNTIF($AD$7:$AD$200,$P13)&gt;0,$P13,"")</f>
      </c>
      <c r="R13" s="201">
        <f>IF($C13,IF(ISNUMBER('Proyecto Datos (OKR´s)'!$L13),'Proyecto Datos (OKR´s)'!$L13,$H13),"")</f>
      </c>
      <c r="S13" s="201">
        <f>IF($C13,$R13-'Proyecto Datos (OKR´s)'!$K13+1,"")</f>
      </c>
      <c r="T13" s="201">
        <f>IF($C13,MAX(0,TODAY()-'Proyecto Datos (OKR´s)'!$K13),"")</f>
      </c>
      <c r="U13" s="201">
        <f>IF($C13,MEDIAN(0,(TODAY()-'Proyecto Datos (OKR´s)'!$K13)/MAX(1,$R13-'Proyecto Datos (OKR´s)'!$K13),1),"")</f>
      </c>
      <c r="V13" s="201">
        <f>IF($C13,$I13-$U13,"")</f>
      </c>
      <c r="W13" s="201">
        <f>IF($C13,IF($J13="Completado",0,MAX(0,TODAY()-$H13)),"")</f>
      </c>
      <c r="X13" s="201">
        <f>IF($C13,IF(ISNUMBER($H13),$R13-$H13,0),"")</f>
      </c>
      <c r="Y13" s="201">
        <f>IF($C13,COUNTIFS($G$7:$G$200,$G13,$J$7:$J$200,"&lt;&gt;Completado",$J$7:$J$200,"&lt;&gt;"),"")</f>
      </c>
      <c r="Z13" s="201">
        <f>IF($C13,AND($I13=0,'Proyecto Datos (OKR´s)'!$K13&lt;=TODAY(),$J13&lt;&gt;"Completado"),"")</f>
      </c>
      <c r="AA13" s="201">
        <f>IF($C13,ROUND(100*(0.35*$AK13+0.3*$AL13+0.2*$AM13+0.15*MEDIAN(0,($Y13-4)/8,1)),0),"")</f>
      </c>
      <c r="AB13" s="202">
        <f>IF($C13,IF($J13="Completado","—",IF($AA13&gt;=70,"Crítica",IF($AA13&gt;=45,"Alta",IF($AA13&gt;=25,"Media","Baja")))),"")</f>
      </c>
      <c r="AC13" s="202">
        <f>IF($C13,IF(LEN(TRIM($AN13))=0,"—",TRIM($AN13)),"")</f>
      </c>
      <c r="AD13" s="201">
        <f>IF($C13,IF($N13=9999,9999,IF($J13="Completado",$N13,MAX($N13,'Historial de Sprints'!$C$7))),"")</f>
      </c>
      <c r="AE13" s="201">
        <f>IF($C13,IF($AD13=9999,"(Sin sprint)",$AD13),"")</f>
      </c>
      <c r="AF13" s="201">
        <f>IF($C13,AND($N13&lt;&gt;9999,$AD13&lt;&gt;$N13),FALSE)</f>
      </c>
      <c r="AG13" s="201">
        <f>IF($AF13,'Historial de Sprints'!$C$5+$N13*'Historial de Sprints'!$C$6-1,"")</f>
      </c>
      <c r="AH13" s="202">
        <f>IF($AF13,"No completada al cierre del Sprint "&amp;$N13&amp;" -&gt; reasignada al Sprint "&amp;$AD13,"")</f>
      </c>
      <c r="AI13" s="201">
        <f>IF($AF13,$N13*100000+ROW(),"")</f>
      </c>
      <c r="AJ13" s="201">
        <f>IF($C13,$AA13*1000000-MEDIAN(-9999,$K13,9999)*100+(300-ROW()),"")</f>
      </c>
      <c r="AK13" s="201">
        <f>IF($C13,IF($J13="Completado",0,IF($K13&lt;0,1,IF($K13&lt;=3,0.9,IF($K13&lt;=7,0.7,IF($K13&lt;=14,0.45,0.2))))),"")</f>
      </c>
      <c r="AL13" s="201">
        <f>IF($C13,IF($J13="Completado",0,MEDIAN(0,MAX(-$V13,$W13/30),1)),"")</f>
      </c>
      <c r="AM13" s="201">
        <f>IF($C13,IF($J13="Completado",0,IF($Z13,1,IF(AND($I13&lt;0.5,$K13&lt;=7),0.7,0.3))),"")</f>
      </c>
      <c r="AN13" s="202">
        <f>IF($C13,IF(OR($V13&lt;-0.2,$W13&gt;0),"ATRASO ","")&amp;IF($Z13,"BLOQUEO ","")&amp;IF($Y13&gt;8,"SOBRECARGA ","")&amp;IF($X13&gt;0,"DESVÍO-PLAN ",""),"")</f>
      </c>
    </row>
    <row r="14">
      <c r="A14" s="201">
        <f>ROW()</f>
      </c>
      <c r="B14" s="201">
        <f>ISTEXT('Proyecto Datos (OKR´s)'!$K14)</f>
      </c>
      <c r="C14" s="201">
        <f>AND(LEN('Proyecto Datos (OKR´s)'!$G14)&gt;0,NOT($B14),OR(ISNUMBER('Proyecto Datos (OKR´s)'!$F14),ISNUMBER('Proyecto Datos (OKR´s)'!$L14)))</f>
      </c>
      <c r="D14" s="202">
        <f>IF($C14,IFERROR(LOOKUP(2,1/((ISTEXT('Proyecto Datos (OKR´s)'!$K$7:$K14))*(LEN('Proyecto Datos (OKR´s)'!$G$7:$G14)&gt;0)),'Proyecto Datos (OKR´s)'!$G$7:$G14),""),"")</f>
      </c>
      <c r="E14" s="201">
        <f>IF($C14,'Proyecto Datos (OKR´s)'!$E14,"")</f>
      </c>
      <c r="F14" s="202">
        <f>IF($C14,'Proyecto Datos (OKR´s)'!$G14,"")</f>
      </c>
      <c r="G14" s="202">
        <f>IF($C14,IF('Proyecto Datos (OKR´s)'!$I14="","(Sin asignar)",'Proyecto Datos (OKR´s)'!$I14),"")</f>
      </c>
      <c r="H14" s="201">
        <f>IF($C14,IF(ISNUMBER('Proyecto Datos (OKR´s)'!$F14),'Proyecto Datos (OKR´s)'!$F14,'Proyecto Datos (OKR´s)'!$L14),"")</f>
      </c>
      <c r="I14" s="201">
        <f>IF($C14,'Proyecto Datos (OKR´s)'!$J14,"")</f>
      </c>
      <c r="J14" s="202">
        <f>IF($C14,IF($I14&gt;=1,"Completado",IF($H14&lt;TODAY(),"Vencido",IF(($H14-TODAY())&lt;='Entregas Próximas'!$M$3,"Próximo a vencer","En curso"))),"")</f>
      </c>
      <c r="K14" s="201">
        <f>IF($C14,$H14-TODAY(),"")</f>
      </c>
      <c r="L14" s="201">
        <f>IF($C14,$AD14*1000000+$H14+ROW()/100000,"")</f>
      </c>
      <c r="M14" s="201">
        <f>IF($C14,IF($AD14=9999,"(Sin sprint)",$AD14),"")</f>
      </c>
      <c r="N14" s="201">
        <f>IF($C14,IF('Proyecto Datos (OKR´s)'!$E14="",9999,'Proyecto Datos (OKR´s)'!$E14),"")</f>
      </c>
      <c r="O14" s="201">
        <f>IF($C14,"T"&amp;TEXT(ROW(),"000"),"")</f>
      </c>
      <c r="P14" s="201">
        <f>ROW()-6</f>
      </c>
      <c r="Q14" s="201">
        <f>IF(COUNTIF($AD$7:$AD$200,$P14)&gt;0,$P14,"")</f>
      </c>
      <c r="R14" s="201">
        <f>IF($C14,IF(ISNUMBER('Proyecto Datos (OKR´s)'!$L14),'Proyecto Datos (OKR´s)'!$L14,$H14),"")</f>
      </c>
      <c r="S14" s="201">
        <f>IF($C14,$R14-'Proyecto Datos (OKR´s)'!$K14+1,"")</f>
      </c>
      <c r="T14" s="201">
        <f>IF($C14,MAX(0,TODAY()-'Proyecto Datos (OKR´s)'!$K14),"")</f>
      </c>
      <c r="U14" s="201">
        <f>IF($C14,MEDIAN(0,(TODAY()-'Proyecto Datos (OKR´s)'!$K14)/MAX(1,$R14-'Proyecto Datos (OKR´s)'!$K14),1),"")</f>
      </c>
      <c r="V14" s="201">
        <f>IF($C14,$I14-$U14,"")</f>
      </c>
      <c r="W14" s="201">
        <f>IF($C14,IF($J14="Completado",0,MAX(0,TODAY()-$H14)),"")</f>
      </c>
      <c r="X14" s="201">
        <f>IF($C14,IF(ISNUMBER($H14),$R14-$H14,0),"")</f>
      </c>
      <c r="Y14" s="201">
        <f>IF($C14,COUNTIFS($G$7:$G$200,$G14,$J$7:$J$200,"&lt;&gt;Completado",$J$7:$J$200,"&lt;&gt;"),"")</f>
      </c>
      <c r="Z14" s="201">
        <f>IF($C14,AND($I14=0,'Proyecto Datos (OKR´s)'!$K14&lt;=TODAY(),$J14&lt;&gt;"Completado"),"")</f>
      </c>
      <c r="AA14" s="201">
        <f>IF($C14,ROUND(100*(0.35*$AK14+0.3*$AL14+0.2*$AM14+0.15*MEDIAN(0,($Y14-4)/8,1)),0),"")</f>
      </c>
      <c r="AB14" s="202">
        <f>IF($C14,IF($J14="Completado","—",IF($AA14&gt;=70,"Crítica",IF($AA14&gt;=45,"Alta",IF($AA14&gt;=25,"Media","Baja")))),"")</f>
      </c>
      <c r="AC14" s="202">
        <f>IF($C14,IF(LEN(TRIM($AN14))=0,"—",TRIM($AN14)),"")</f>
      </c>
      <c r="AD14" s="201">
        <f>IF($C14,IF($N14=9999,9999,IF($J14="Completado",$N14,MAX($N14,'Historial de Sprints'!$C$7))),"")</f>
      </c>
      <c r="AE14" s="201">
        <f>IF($C14,IF($AD14=9999,"(Sin sprint)",$AD14),"")</f>
      </c>
      <c r="AF14" s="201">
        <f>IF($C14,AND($N14&lt;&gt;9999,$AD14&lt;&gt;$N14),FALSE)</f>
      </c>
      <c r="AG14" s="201">
        <f>IF($AF14,'Historial de Sprints'!$C$5+$N14*'Historial de Sprints'!$C$6-1,"")</f>
      </c>
      <c r="AH14" s="202">
        <f>IF($AF14,"No completada al cierre del Sprint "&amp;$N14&amp;" -&gt; reasignada al Sprint "&amp;$AD14,"")</f>
      </c>
      <c r="AI14" s="201">
        <f>IF($AF14,$N14*100000+ROW(),"")</f>
      </c>
      <c r="AJ14" s="201">
        <f>IF($C14,$AA14*1000000-MEDIAN(-9999,$K14,9999)*100+(300-ROW()),"")</f>
      </c>
      <c r="AK14" s="201">
        <f>IF($C14,IF($J14="Completado",0,IF($K14&lt;0,1,IF($K14&lt;=3,0.9,IF($K14&lt;=7,0.7,IF($K14&lt;=14,0.45,0.2))))),"")</f>
      </c>
      <c r="AL14" s="201">
        <f>IF($C14,IF($J14="Completado",0,MEDIAN(0,MAX(-$V14,$W14/30),1)),"")</f>
      </c>
      <c r="AM14" s="201">
        <f>IF($C14,IF($J14="Completado",0,IF($Z14,1,IF(AND($I14&lt;0.5,$K14&lt;=7),0.7,0.3))),"")</f>
      </c>
      <c r="AN14" s="202">
        <f>IF($C14,IF(OR($V14&lt;-0.2,$W14&gt;0),"ATRASO ","")&amp;IF($Z14,"BLOQUEO ","")&amp;IF($Y14&gt;8,"SOBRECARGA ","")&amp;IF($X14&gt;0,"DESVÍO-PLAN ",""),"")</f>
      </c>
    </row>
    <row r="15">
      <c r="A15" s="201">
        <f>ROW()</f>
      </c>
      <c r="B15" s="201">
        <f>ISTEXT('Proyecto Datos (OKR´s)'!$K15)</f>
      </c>
      <c r="C15" s="201">
        <f>AND(LEN('Proyecto Datos (OKR´s)'!$G15)&gt;0,NOT($B15),OR(ISNUMBER('Proyecto Datos (OKR´s)'!$F15),ISNUMBER('Proyecto Datos (OKR´s)'!$L15)))</f>
      </c>
      <c r="D15" s="202">
        <f>IF($C15,IFERROR(LOOKUP(2,1/((ISTEXT('Proyecto Datos (OKR´s)'!$K$7:$K15))*(LEN('Proyecto Datos (OKR´s)'!$G$7:$G15)&gt;0)),'Proyecto Datos (OKR´s)'!$G$7:$G15),""),"")</f>
      </c>
      <c r="E15" s="201">
        <f>IF($C15,'Proyecto Datos (OKR´s)'!$E15,"")</f>
      </c>
      <c r="F15" s="202">
        <f>IF($C15,'Proyecto Datos (OKR´s)'!$G15,"")</f>
      </c>
      <c r="G15" s="202">
        <f>IF($C15,IF('Proyecto Datos (OKR´s)'!$I15="","(Sin asignar)",'Proyecto Datos (OKR´s)'!$I15),"")</f>
      </c>
      <c r="H15" s="201">
        <f>IF($C15,IF(ISNUMBER('Proyecto Datos (OKR´s)'!$F15),'Proyecto Datos (OKR´s)'!$F15,'Proyecto Datos (OKR´s)'!$L15),"")</f>
      </c>
      <c r="I15" s="201">
        <f>IF($C15,'Proyecto Datos (OKR´s)'!$J15,"")</f>
      </c>
      <c r="J15" s="202">
        <f>IF($C15,IF($I15&gt;=1,"Completado",IF($H15&lt;TODAY(),"Vencido",IF(($H15-TODAY())&lt;='Entregas Próximas'!$M$3,"Próximo a vencer","En curso"))),"")</f>
      </c>
      <c r="K15" s="201">
        <f>IF($C15,$H15-TODAY(),"")</f>
      </c>
      <c r="L15" s="201">
        <f>IF($C15,$AD15*1000000+$H15+ROW()/100000,"")</f>
      </c>
      <c r="M15" s="201">
        <f>IF($C15,IF($AD15=9999,"(Sin sprint)",$AD15),"")</f>
      </c>
      <c r="N15" s="201">
        <f>IF($C15,IF('Proyecto Datos (OKR´s)'!$E15="",9999,'Proyecto Datos (OKR´s)'!$E15),"")</f>
      </c>
      <c r="O15" s="201">
        <f>IF($C15,"T"&amp;TEXT(ROW(),"000"),"")</f>
      </c>
      <c r="P15" s="201">
        <f>ROW()-6</f>
      </c>
      <c r="Q15" s="201">
        <f>IF(COUNTIF($AD$7:$AD$200,$P15)&gt;0,$P15,"")</f>
      </c>
      <c r="R15" s="201">
        <f>IF($C15,IF(ISNUMBER('Proyecto Datos (OKR´s)'!$L15),'Proyecto Datos (OKR´s)'!$L15,$H15),"")</f>
      </c>
      <c r="S15" s="201">
        <f>IF($C15,$R15-'Proyecto Datos (OKR´s)'!$K15+1,"")</f>
      </c>
      <c r="T15" s="201">
        <f>IF($C15,MAX(0,TODAY()-'Proyecto Datos (OKR´s)'!$K15),"")</f>
      </c>
      <c r="U15" s="201">
        <f>IF($C15,MEDIAN(0,(TODAY()-'Proyecto Datos (OKR´s)'!$K15)/MAX(1,$R15-'Proyecto Datos (OKR´s)'!$K15),1),"")</f>
      </c>
      <c r="V15" s="201">
        <f>IF($C15,$I15-$U15,"")</f>
      </c>
      <c r="W15" s="201">
        <f>IF($C15,IF($J15="Completado",0,MAX(0,TODAY()-$H15)),"")</f>
      </c>
      <c r="X15" s="201">
        <f>IF($C15,IF(ISNUMBER($H15),$R15-$H15,0),"")</f>
      </c>
      <c r="Y15" s="201">
        <f>IF($C15,COUNTIFS($G$7:$G$200,$G15,$J$7:$J$200,"&lt;&gt;Completado",$J$7:$J$200,"&lt;&gt;"),"")</f>
      </c>
      <c r="Z15" s="201">
        <f>IF($C15,AND($I15=0,'Proyecto Datos (OKR´s)'!$K15&lt;=TODAY(),$J15&lt;&gt;"Completado"),"")</f>
      </c>
      <c r="AA15" s="201">
        <f>IF($C15,ROUND(100*(0.35*$AK15+0.3*$AL15+0.2*$AM15+0.15*MEDIAN(0,($Y15-4)/8,1)),0),"")</f>
      </c>
      <c r="AB15" s="202">
        <f>IF($C15,IF($J15="Completado","—",IF($AA15&gt;=70,"Crítica",IF($AA15&gt;=45,"Alta",IF($AA15&gt;=25,"Media","Baja")))),"")</f>
      </c>
      <c r="AC15" s="202">
        <f>IF($C15,IF(LEN(TRIM($AN15))=0,"—",TRIM($AN15)),"")</f>
      </c>
      <c r="AD15" s="201">
        <f>IF($C15,IF($N15=9999,9999,IF($J15="Completado",$N15,MAX($N15,'Historial de Sprints'!$C$7))),"")</f>
      </c>
      <c r="AE15" s="201">
        <f>IF($C15,IF($AD15=9999,"(Sin sprint)",$AD15),"")</f>
      </c>
      <c r="AF15" s="201">
        <f>IF($C15,AND($N15&lt;&gt;9999,$AD15&lt;&gt;$N15),FALSE)</f>
      </c>
      <c r="AG15" s="201">
        <f>IF($AF15,'Historial de Sprints'!$C$5+$N15*'Historial de Sprints'!$C$6-1,"")</f>
      </c>
      <c r="AH15" s="202">
        <f>IF($AF15,"No completada al cierre del Sprint "&amp;$N15&amp;" -&gt; reasignada al Sprint "&amp;$AD15,"")</f>
      </c>
      <c r="AI15" s="201">
        <f>IF($AF15,$N15*100000+ROW(),"")</f>
      </c>
      <c r="AJ15" s="201">
        <f>IF($C15,$AA15*1000000-MEDIAN(-9999,$K15,9999)*100+(300-ROW()),"")</f>
      </c>
      <c r="AK15" s="201">
        <f>IF($C15,IF($J15="Completado",0,IF($K15&lt;0,1,IF($K15&lt;=3,0.9,IF($K15&lt;=7,0.7,IF($K15&lt;=14,0.45,0.2))))),"")</f>
      </c>
      <c r="AL15" s="201">
        <f>IF($C15,IF($J15="Completado",0,MEDIAN(0,MAX(-$V15,$W15/30),1)),"")</f>
      </c>
      <c r="AM15" s="201">
        <f>IF($C15,IF($J15="Completado",0,IF($Z15,1,IF(AND($I15&lt;0.5,$K15&lt;=7),0.7,0.3))),"")</f>
      </c>
      <c r="AN15" s="202">
        <f>IF($C15,IF(OR($V15&lt;-0.2,$W15&gt;0),"ATRASO ","")&amp;IF($Z15,"BLOQUEO ","")&amp;IF($Y15&gt;8,"SOBRECARGA ","")&amp;IF($X15&gt;0,"DESVÍO-PLAN ",""),"")</f>
      </c>
    </row>
    <row r="16">
      <c r="A16" s="201">
        <f>ROW()</f>
      </c>
      <c r="B16" s="201">
        <f>ISTEXT('Proyecto Datos (OKR´s)'!$K16)</f>
      </c>
      <c r="C16" s="201">
        <f>AND(LEN('Proyecto Datos (OKR´s)'!$G16)&gt;0,NOT($B16),OR(ISNUMBER('Proyecto Datos (OKR´s)'!$F16),ISNUMBER('Proyecto Datos (OKR´s)'!$L16)))</f>
      </c>
      <c r="D16" s="202">
        <f>IF($C16,IFERROR(LOOKUP(2,1/((ISTEXT('Proyecto Datos (OKR´s)'!$K$7:$K16))*(LEN('Proyecto Datos (OKR´s)'!$G$7:$G16)&gt;0)),'Proyecto Datos (OKR´s)'!$G$7:$G16),""),"")</f>
      </c>
      <c r="E16" s="201">
        <f>IF($C16,'Proyecto Datos (OKR´s)'!$E16,"")</f>
      </c>
      <c r="F16" s="202">
        <f>IF($C16,'Proyecto Datos (OKR´s)'!$G16,"")</f>
      </c>
      <c r="G16" s="202">
        <f>IF($C16,IF('Proyecto Datos (OKR´s)'!$I16="","(Sin asignar)",'Proyecto Datos (OKR´s)'!$I16),"")</f>
      </c>
      <c r="H16" s="201">
        <f>IF($C16,IF(ISNUMBER('Proyecto Datos (OKR´s)'!$F16),'Proyecto Datos (OKR´s)'!$F16,'Proyecto Datos (OKR´s)'!$L16),"")</f>
      </c>
      <c r="I16" s="201">
        <f>IF($C16,'Proyecto Datos (OKR´s)'!$J16,"")</f>
      </c>
      <c r="J16" s="202">
        <f>IF($C16,IF($I16&gt;=1,"Completado",IF($H16&lt;TODAY(),"Vencido",IF(($H16-TODAY())&lt;='Entregas Próximas'!$M$3,"Próximo a vencer","En curso"))),"")</f>
      </c>
      <c r="K16" s="201">
        <f>IF($C16,$H16-TODAY(),"")</f>
      </c>
      <c r="L16" s="201">
        <f>IF($C16,$AD16*1000000+$H16+ROW()/100000,"")</f>
      </c>
      <c r="M16" s="201">
        <f>IF($C16,IF($AD16=9999,"(Sin sprint)",$AD16),"")</f>
      </c>
      <c r="N16" s="201">
        <f>IF($C16,IF('Proyecto Datos (OKR´s)'!$E16="",9999,'Proyecto Datos (OKR´s)'!$E16),"")</f>
      </c>
      <c r="O16" s="201">
        <f>IF($C16,"T"&amp;TEXT(ROW(),"000"),"")</f>
      </c>
      <c r="P16" s="201">
        <f>ROW()-6</f>
      </c>
      <c r="Q16" s="201">
        <f>IF(COUNTIF($AD$7:$AD$200,$P16)&gt;0,$P16,"")</f>
      </c>
      <c r="R16" s="201">
        <f>IF($C16,IF(ISNUMBER('Proyecto Datos (OKR´s)'!$L16),'Proyecto Datos (OKR´s)'!$L16,$H16),"")</f>
      </c>
      <c r="S16" s="201">
        <f>IF($C16,$R16-'Proyecto Datos (OKR´s)'!$K16+1,"")</f>
      </c>
      <c r="T16" s="201">
        <f>IF($C16,MAX(0,TODAY()-'Proyecto Datos (OKR´s)'!$K16),"")</f>
      </c>
      <c r="U16" s="201">
        <f>IF($C16,MEDIAN(0,(TODAY()-'Proyecto Datos (OKR´s)'!$K16)/MAX(1,$R16-'Proyecto Datos (OKR´s)'!$K16),1),"")</f>
      </c>
      <c r="V16" s="201">
        <f>IF($C16,$I16-$U16,"")</f>
      </c>
      <c r="W16" s="201">
        <f>IF($C16,IF($J16="Completado",0,MAX(0,TODAY()-$H16)),"")</f>
      </c>
      <c r="X16" s="201">
        <f>IF($C16,IF(ISNUMBER($H16),$R16-$H16,0),"")</f>
      </c>
      <c r="Y16" s="201">
        <f>IF($C16,COUNTIFS($G$7:$G$200,$G16,$J$7:$J$200,"&lt;&gt;Completado",$J$7:$J$200,"&lt;&gt;"),"")</f>
      </c>
      <c r="Z16" s="201">
        <f>IF($C16,AND($I16=0,'Proyecto Datos (OKR´s)'!$K16&lt;=TODAY(),$J16&lt;&gt;"Completado"),"")</f>
      </c>
      <c r="AA16" s="201">
        <f>IF($C16,ROUND(100*(0.35*$AK16+0.3*$AL16+0.2*$AM16+0.15*MEDIAN(0,($Y16-4)/8,1)),0),"")</f>
      </c>
      <c r="AB16" s="202">
        <f>IF($C16,IF($J16="Completado","—",IF($AA16&gt;=70,"Crítica",IF($AA16&gt;=45,"Alta",IF($AA16&gt;=25,"Media","Baja")))),"")</f>
      </c>
      <c r="AC16" s="202">
        <f>IF($C16,IF(LEN(TRIM($AN16))=0,"—",TRIM($AN16)),"")</f>
      </c>
      <c r="AD16" s="201">
        <f>IF($C16,IF($N16=9999,9999,IF($J16="Completado",$N16,MAX($N16,'Historial de Sprints'!$C$7))),"")</f>
      </c>
      <c r="AE16" s="201">
        <f>IF($C16,IF($AD16=9999,"(Sin sprint)",$AD16),"")</f>
      </c>
      <c r="AF16" s="201">
        <f>IF($C16,AND($N16&lt;&gt;9999,$AD16&lt;&gt;$N16),FALSE)</f>
      </c>
      <c r="AG16" s="201">
        <f>IF($AF16,'Historial de Sprints'!$C$5+$N16*'Historial de Sprints'!$C$6-1,"")</f>
      </c>
      <c r="AH16" s="202">
        <f>IF($AF16,"No completada al cierre del Sprint "&amp;$N16&amp;" -&gt; reasignada al Sprint "&amp;$AD16,"")</f>
      </c>
      <c r="AI16" s="201">
        <f>IF($AF16,$N16*100000+ROW(),"")</f>
      </c>
      <c r="AJ16" s="201">
        <f>IF($C16,$AA16*1000000-MEDIAN(-9999,$K16,9999)*100+(300-ROW()),"")</f>
      </c>
      <c r="AK16" s="201">
        <f>IF($C16,IF($J16="Completado",0,IF($K16&lt;0,1,IF($K16&lt;=3,0.9,IF($K16&lt;=7,0.7,IF($K16&lt;=14,0.45,0.2))))),"")</f>
      </c>
      <c r="AL16" s="201">
        <f>IF($C16,IF($J16="Completado",0,MEDIAN(0,MAX(-$V16,$W16/30),1)),"")</f>
      </c>
      <c r="AM16" s="201">
        <f>IF($C16,IF($J16="Completado",0,IF($Z16,1,IF(AND($I16&lt;0.5,$K16&lt;=7),0.7,0.3))),"")</f>
      </c>
      <c r="AN16" s="202">
        <f>IF($C16,IF(OR($V16&lt;-0.2,$W16&gt;0),"ATRASO ","")&amp;IF($Z16,"BLOQUEO ","")&amp;IF($Y16&gt;8,"SOBRECARGA ","")&amp;IF($X16&gt;0,"DESVÍO-PLAN ",""),"")</f>
      </c>
    </row>
    <row r="17">
      <c r="A17" s="201">
        <f>ROW()</f>
      </c>
      <c r="B17" s="201">
        <f>ISTEXT('Proyecto Datos (OKR´s)'!$K17)</f>
      </c>
      <c r="C17" s="201">
        <f>AND(LEN('Proyecto Datos (OKR´s)'!$G17)&gt;0,NOT($B17),OR(ISNUMBER('Proyecto Datos (OKR´s)'!$F17),ISNUMBER('Proyecto Datos (OKR´s)'!$L17)))</f>
      </c>
      <c r="D17" s="202">
        <f>IF($C17,IFERROR(LOOKUP(2,1/((ISTEXT('Proyecto Datos (OKR´s)'!$K$7:$K17))*(LEN('Proyecto Datos (OKR´s)'!$G$7:$G17)&gt;0)),'Proyecto Datos (OKR´s)'!$G$7:$G17),""),"")</f>
      </c>
      <c r="E17" s="201">
        <f>IF($C17,'Proyecto Datos (OKR´s)'!$E17,"")</f>
      </c>
      <c r="F17" s="202">
        <f>IF($C17,'Proyecto Datos (OKR´s)'!$G17,"")</f>
      </c>
      <c r="G17" s="202">
        <f>IF($C17,IF('Proyecto Datos (OKR´s)'!$I17="","(Sin asignar)",'Proyecto Datos (OKR´s)'!$I17),"")</f>
      </c>
      <c r="H17" s="201">
        <f>IF($C17,IF(ISNUMBER('Proyecto Datos (OKR´s)'!$F17),'Proyecto Datos (OKR´s)'!$F17,'Proyecto Datos (OKR´s)'!$L17),"")</f>
      </c>
      <c r="I17" s="201">
        <f>IF($C17,'Proyecto Datos (OKR´s)'!$J17,"")</f>
      </c>
      <c r="J17" s="202">
        <f>IF($C17,IF($I17&gt;=1,"Completado",IF($H17&lt;TODAY(),"Vencido",IF(($H17-TODAY())&lt;='Entregas Próximas'!$M$3,"Próximo a vencer","En curso"))),"")</f>
      </c>
      <c r="K17" s="201">
        <f>IF($C17,$H17-TODAY(),"")</f>
      </c>
      <c r="L17" s="201">
        <f>IF($C17,$AD17*1000000+$H17+ROW()/100000,"")</f>
      </c>
      <c r="M17" s="201">
        <f>IF($C17,IF($AD17=9999,"(Sin sprint)",$AD17),"")</f>
      </c>
      <c r="N17" s="201">
        <f>IF($C17,IF('Proyecto Datos (OKR´s)'!$E17="",9999,'Proyecto Datos (OKR´s)'!$E17),"")</f>
      </c>
      <c r="O17" s="201">
        <f>IF($C17,"T"&amp;TEXT(ROW(),"000"),"")</f>
      </c>
      <c r="P17" s="201">
        <f>ROW()-6</f>
      </c>
      <c r="Q17" s="201">
        <f>IF(COUNTIF($AD$7:$AD$200,$P17)&gt;0,$P17,"")</f>
      </c>
      <c r="R17" s="201">
        <f>IF($C17,IF(ISNUMBER('Proyecto Datos (OKR´s)'!$L17),'Proyecto Datos (OKR´s)'!$L17,$H17),"")</f>
      </c>
      <c r="S17" s="201">
        <f>IF($C17,$R17-'Proyecto Datos (OKR´s)'!$K17+1,"")</f>
      </c>
      <c r="T17" s="201">
        <f>IF($C17,MAX(0,TODAY()-'Proyecto Datos (OKR´s)'!$K17),"")</f>
      </c>
      <c r="U17" s="201">
        <f>IF($C17,MEDIAN(0,(TODAY()-'Proyecto Datos (OKR´s)'!$K17)/MAX(1,$R17-'Proyecto Datos (OKR´s)'!$K17),1),"")</f>
      </c>
      <c r="V17" s="201">
        <f>IF($C17,$I17-$U17,"")</f>
      </c>
      <c r="W17" s="201">
        <f>IF($C17,IF($J17="Completado",0,MAX(0,TODAY()-$H17)),"")</f>
      </c>
      <c r="X17" s="201">
        <f>IF($C17,IF(ISNUMBER($H17),$R17-$H17,0),"")</f>
      </c>
      <c r="Y17" s="201">
        <f>IF($C17,COUNTIFS($G$7:$G$200,$G17,$J$7:$J$200,"&lt;&gt;Completado",$J$7:$J$200,"&lt;&gt;"),"")</f>
      </c>
      <c r="Z17" s="201">
        <f>IF($C17,AND($I17=0,'Proyecto Datos (OKR´s)'!$K17&lt;=TODAY(),$J17&lt;&gt;"Completado"),"")</f>
      </c>
      <c r="AA17" s="201">
        <f>IF($C17,ROUND(100*(0.35*$AK17+0.3*$AL17+0.2*$AM17+0.15*MEDIAN(0,($Y17-4)/8,1)),0),"")</f>
      </c>
      <c r="AB17" s="202">
        <f>IF($C17,IF($J17="Completado","—",IF($AA17&gt;=70,"Crítica",IF($AA17&gt;=45,"Alta",IF($AA17&gt;=25,"Media","Baja")))),"")</f>
      </c>
      <c r="AC17" s="202">
        <f>IF($C17,IF(LEN(TRIM($AN17))=0,"—",TRIM($AN17)),"")</f>
      </c>
      <c r="AD17" s="201">
        <f>IF($C17,IF($N17=9999,9999,IF($J17="Completado",$N17,MAX($N17,'Historial de Sprints'!$C$7))),"")</f>
      </c>
      <c r="AE17" s="201">
        <f>IF($C17,IF($AD17=9999,"(Sin sprint)",$AD17),"")</f>
      </c>
      <c r="AF17" s="201">
        <f>IF($C17,AND($N17&lt;&gt;9999,$AD17&lt;&gt;$N17),FALSE)</f>
      </c>
      <c r="AG17" s="201">
        <f>IF($AF17,'Historial de Sprints'!$C$5+$N17*'Historial de Sprints'!$C$6-1,"")</f>
      </c>
      <c r="AH17" s="202">
        <f>IF($AF17,"No completada al cierre del Sprint "&amp;$N17&amp;" -&gt; reasignada al Sprint "&amp;$AD17,"")</f>
      </c>
      <c r="AI17" s="201">
        <f>IF($AF17,$N17*100000+ROW(),"")</f>
      </c>
      <c r="AJ17" s="201">
        <f>IF($C17,$AA17*1000000-MEDIAN(-9999,$K17,9999)*100+(300-ROW()),"")</f>
      </c>
      <c r="AK17" s="201">
        <f>IF($C17,IF($J17="Completado",0,IF($K17&lt;0,1,IF($K17&lt;=3,0.9,IF($K17&lt;=7,0.7,IF($K17&lt;=14,0.45,0.2))))),"")</f>
      </c>
      <c r="AL17" s="201">
        <f>IF($C17,IF($J17="Completado",0,MEDIAN(0,MAX(-$V17,$W17/30),1)),"")</f>
      </c>
      <c r="AM17" s="201">
        <f>IF($C17,IF($J17="Completado",0,IF($Z17,1,IF(AND($I17&lt;0.5,$K17&lt;=7),0.7,0.3))),"")</f>
      </c>
      <c r="AN17" s="202">
        <f>IF($C17,IF(OR($V17&lt;-0.2,$W17&gt;0),"ATRASO ","")&amp;IF($Z17,"BLOQUEO ","")&amp;IF($Y17&gt;8,"SOBRECARGA ","")&amp;IF($X17&gt;0,"DESVÍO-PLAN ",""),"")</f>
      </c>
    </row>
    <row r="18">
      <c r="A18" s="201">
        <f>ROW()</f>
      </c>
      <c r="B18" s="201">
        <f>ISTEXT('Proyecto Datos (OKR´s)'!$K18)</f>
      </c>
      <c r="C18" s="201">
        <f>AND(LEN('Proyecto Datos (OKR´s)'!$G18)&gt;0,NOT($B18),OR(ISNUMBER('Proyecto Datos (OKR´s)'!$F18),ISNUMBER('Proyecto Datos (OKR´s)'!$L18)))</f>
      </c>
      <c r="D18" s="202">
        <f>IF($C18,IFERROR(LOOKUP(2,1/((ISTEXT('Proyecto Datos (OKR´s)'!$K$7:$K18))*(LEN('Proyecto Datos (OKR´s)'!$G$7:$G18)&gt;0)),'Proyecto Datos (OKR´s)'!$G$7:$G18),""),"")</f>
      </c>
      <c r="E18" s="201">
        <f>IF($C18,'Proyecto Datos (OKR´s)'!$E18,"")</f>
      </c>
      <c r="F18" s="202">
        <f>IF($C18,'Proyecto Datos (OKR´s)'!$G18,"")</f>
      </c>
      <c r="G18" s="202">
        <f>IF($C18,IF('Proyecto Datos (OKR´s)'!$I18="","(Sin asignar)",'Proyecto Datos (OKR´s)'!$I18),"")</f>
      </c>
      <c r="H18" s="201">
        <f>IF($C18,IF(ISNUMBER('Proyecto Datos (OKR´s)'!$F18),'Proyecto Datos (OKR´s)'!$F18,'Proyecto Datos (OKR´s)'!$L18),"")</f>
      </c>
      <c r="I18" s="201">
        <f>IF($C18,'Proyecto Datos (OKR´s)'!$J18,"")</f>
      </c>
      <c r="J18" s="202">
        <f>IF($C18,IF($I18&gt;=1,"Completado",IF($H18&lt;TODAY(),"Vencido",IF(($H18-TODAY())&lt;='Entregas Próximas'!$M$3,"Próximo a vencer","En curso"))),"")</f>
      </c>
      <c r="K18" s="201">
        <f>IF($C18,$H18-TODAY(),"")</f>
      </c>
      <c r="L18" s="201">
        <f>IF($C18,$AD18*1000000+$H18+ROW()/100000,"")</f>
      </c>
      <c r="M18" s="201">
        <f>IF($C18,IF($AD18=9999,"(Sin sprint)",$AD18),"")</f>
      </c>
      <c r="N18" s="201">
        <f>IF($C18,IF('Proyecto Datos (OKR´s)'!$E18="",9999,'Proyecto Datos (OKR´s)'!$E18),"")</f>
      </c>
      <c r="O18" s="201">
        <f>IF($C18,"T"&amp;TEXT(ROW(),"000"),"")</f>
      </c>
      <c r="P18" s="201">
        <f>ROW()-6</f>
      </c>
      <c r="Q18" s="201">
        <f>IF(COUNTIF($AD$7:$AD$200,$P18)&gt;0,$P18,"")</f>
      </c>
      <c r="R18" s="201">
        <f>IF($C18,IF(ISNUMBER('Proyecto Datos (OKR´s)'!$L18),'Proyecto Datos (OKR´s)'!$L18,$H18),"")</f>
      </c>
      <c r="S18" s="201">
        <f>IF($C18,$R18-'Proyecto Datos (OKR´s)'!$K18+1,"")</f>
      </c>
      <c r="T18" s="201">
        <f>IF($C18,MAX(0,TODAY()-'Proyecto Datos (OKR´s)'!$K18),"")</f>
      </c>
      <c r="U18" s="201">
        <f>IF($C18,MEDIAN(0,(TODAY()-'Proyecto Datos (OKR´s)'!$K18)/MAX(1,$R18-'Proyecto Datos (OKR´s)'!$K18),1),"")</f>
      </c>
      <c r="V18" s="201">
        <f>IF($C18,$I18-$U18,"")</f>
      </c>
      <c r="W18" s="201">
        <f>IF($C18,IF($J18="Completado",0,MAX(0,TODAY()-$H18)),"")</f>
      </c>
      <c r="X18" s="201">
        <f>IF($C18,IF(ISNUMBER($H18),$R18-$H18,0),"")</f>
      </c>
      <c r="Y18" s="201">
        <f>IF($C18,COUNTIFS($G$7:$G$200,$G18,$J$7:$J$200,"&lt;&gt;Completado",$J$7:$J$200,"&lt;&gt;"),"")</f>
      </c>
      <c r="Z18" s="201">
        <f>IF($C18,AND($I18=0,'Proyecto Datos (OKR´s)'!$K18&lt;=TODAY(),$J18&lt;&gt;"Completado"),"")</f>
      </c>
      <c r="AA18" s="201">
        <f>IF($C18,ROUND(100*(0.35*$AK18+0.3*$AL18+0.2*$AM18+0.15*MEDIAN(0,($Y18-4)/8,1)),0),"")</f>
      </c>
      <c r="AB18" s="202">
        <f>IF($C18,IF($J18="Completado","—",IF($AA18&gt;=70,"Crítica",IF($AA18&gt;=45,"Alta",IF($AA18&gt;=25,"Media","Baja")))),"")</f>
      </c>
      <c r="AC18" s="202">
        <f>IF($C18,IF(LEN(TRIM($AN18))=0,"—",TRIM($AN18)),"")</f>
      </c>
      <c r="AD18" s="201">
        <f>IF($C18,IF($N18=9999,9999,IF($J18="Completado",$N18,MAX($N18,'Historial de Sprints'!$C$7))),"")</f>
      </c>
      <c r="AE18" s="201">
        <f>IF($C18,IF($AD18=9999,"(Sin sprint)",$AD18),"")</f>
      </c>
      <c r="AF18" s="201">
        <f>IF($C18,AND($N18&lt;&gt;9999,$AD18&lt;&gt;$N18),FALSE)</f>
      </c>
      <c r="AG18" s="201">
        <f>IF($AF18,'Historial de Sprints'!$C$5+$N18*'Historial de Sprints'!$C$6-1,"")</f>
      </c>
      <c r="AH18" s="202">
        <f>IF($AF18,"No completada al cierre del Sprint "&amp;$N18&amp;" -&gt; reasignada al Sprint "&amp;$AD18,"")</f>
      </c>
      <c r="AI18" s="201">
        <f>IF($AF18,$N18*100000+ROW(),"")</f>
      </c>
      <c r="AJ18" s="201">
        <f>IF($C18,$AA18*1000000-MEDIAN(-9999,$K18,9999)*100+(300-ROW()),"")</f>
      </c>
      <c r="AK18" s="201">
        <f>IF($C18,IF($J18="Completado",0,IF($K18&lt;0,1,IF($K18&lt;=3,0.9,IF($K18&lt;=7,0.7,IF($K18&lt;=14,0.45,0.2))))),"")</f>
      </c>
      <c r="AL18" s="201">
        <f>IF($C18,IF($J18="Completado",0,MEDIAN(0,MAX(-$V18,$W18/30),1)),"")</f>
      </c>
      <c r="AM18" s="201">
        <f>IF($C18,IF($J18="Completado",0,IF($Z18,1,IF(AND($I18&lt;0.5,$K18&lt;=7),0.7,0.3))),"")</f>
      </c>
      <c r="AN18" s="202">
        <f>IF($C18,IF(OR($V18&lt;-0.2,$W18&gt;0),"ATRASO ","")&amp;IF($Z18,"BLOQUEO ","")&amp;IF($Y18&gt;8,"SOBRECARGA ","")&amp;IF($X18&gt;0,"DESVÍO-PLAN ",""),"")</f>
      </c>
    </row>
    <row r="19">
      <c r="A19" s="201">
        <f>ROW()</f>
      </c>
      <c r="B19" s="201">
        <f>ISTEXT('Proyecto Datos (OKR´s)'!$K19)</f>
      </c>
      <c r="C19" s="201">
        <f>AND(LEN('Proyecto Datos (OKR´s)'!$G19)&gt;0,NOT($B19),OR(ISNUMBER('Proyecto Datos (OKR´s)'!$F19),ISNUMBER('Proyecto Datos (OKR´s)'!$L19)))</f>
      </c>
      <c r="D19" s="202">
        <f>IF($C19,IFERROR(LOOKUP(2,1/((ISTEXT('Proyecto Datos (OKR´s)'!$K$7:$K19))*(LEN('Proyecto Datos (OKR´s)'!$G$7:$G19)&gt;0)),'Proyecto Datos (OKR´s)'!$G$7:$G19),""),"")</f>
      </c>
      <c r="E19" s="201">
        <f>IF($C19,'Proyecto Datos (OKR´s)'!$E19,"")</f>
      </c>
      <c r="F19" s="202">
        <f>IF($C19,'Proyecto Datos (OKR´s)'!$G19,"")</f>
      </c>
      <c r="G19" s="202">
        <f>IF($C19,IF('Proyecto Datos (OKR´s)'!$I19="","(Sin asignar)",'Proyecto Datos (OKR´s)'!$I19),"")</f>
      </c>
      <c r="H19" s="201">
        <f>IF($C19,IF(ISNUMBER('Proyecto Datos (OKR´s)'!$F19),'Proyecto Datos (OKR´s)'!$F19,'Proyecto Datos (OKR´s)'!$L19),"")</f>
      </c>
      <c r="I19" s="201">
        <f>IF($C19,'Proyecto Datos (OKR´s)'!$J19,"")</f>
      </c>
      <c r="J19" s="202">
        <f>IF($C19,IF($I19&gt;=1,"Completado",IF($H19&lt;TODAY(),"Vencido",IF(($H19-TODAY())&lt;='Entregas Próximas'!$M$3,"Próximo a vencer","En curso"))),"")</f>
      </c>
      <c r="K19" s="201">
        <f>IF($C19,$H19-TODAY(),"")</f>
      </c>
      <c r="L19" s="201">
        <f>IF($C19,$AD19*1000000+$H19+ROW()/100000,"")</f>
      </c>
      <c r="M19" s="201">
        <f>IF($C19,IF($AD19=9999,"(Sin sprint)",$AD19),"")</f>
      </c>
      <c r="N19" s="201">
        <f>IF($C19,IF('Proyecto Datos (OKR´s)'!$E19="",9999,'Proyecto Datos (OKR´s)'!$E19),"")</f>
      </c>
      <c r="O19" s="201">
        <f>IF($C19,"T"&amp;TEXT(ROW(),"000"),"")</f>
      </c>
      <c r="P19" s="201">
        <f>ROW()-6</f>
      </c>
      <c r="Q19" s="201">
        <f>IF(COUNTIF($AD$7:$AD$200,$P19)&gt;0,$P19,"")</f>
      </c>
      <c r="R19" s="201">
        <f>IF($C19,IF(ISNUMBER('Proyecto Datos (OKR´s)'!$L19),'Proyecto Datos (OKR´s)'!$L19,$H19),"")</f>
      </c>
      <c r="S19" s="201">
        <f>IF($C19,$R19-'Proyecto Datos (OKR´s)'!$K19+1,"")</f>
      </c>
      <c r="T19" s="201">
        <f>IF($C19,MAX(0,TODAY()-'Proyecto Datos (OKR´s)'!$K19),"")</f>
      </c>
      <c r="U19" s="201">
        <f>IF($C19,MEDIAN(0,(TODAY()-'Proyecto Datos (OKR´s)'!$K19)/MAX(1,$R19-'Proyecto Datos (OKR´s)'!$K19),1),"")</f>
      </c>
      <c r="V19" s="201">
        <f>IF($C19,$I19-$U19,"")</f>
      </c>
      <c r="W19" s="201">
        <f>IF($C19,IF($J19="Completado",0,MAX(0,TODAY()-$H19)),"")</f>
      </c>
      <c r="X19" s="201">
        <f>IF($C19,IF(ISNUMBER($H19),$R19-$H19,0),"")</f>
      </c>
      <c r="Y19" s="201">
        <f>IF($C19,COUNTIFS($G$7:$G$200,$G19,$J$7:$J$200,"&lt;&gt;Completado",$J$7:$J$200,"&lt;&gt;"),"")</f>
      </c>
      <c r="Z19" s="201">
        <f>IF($C19,AND($I19=0,'Proyecto Datos (OKR´s)'!$K19&lt;=TODAY(),$J19&lt;&gt;"Completado"),"")</f>
      </c>
      <c r="AA19" s="201">
        <f>IF($C19,ROUND(100*(0.35*$AK19+0.3*$AL19+0.2*$AM19+0.15*MEDIAN(0,($Y19-4)/8,1)),0),"")</f>
      </c>
      <c r="AB19" s="202">
        <f>IF($C19,IF($J19="Completado","—",IF($AA19&gt;=70,"Crítica",IF($AA19&gt;=45,"Alta",IF($AA19&gt;=25,"Media","Baja")))),"")</f>
      </c>
      <c r="AC19" s="202">
        <f>IF($C19,IF(LEN(TRIM($AN19))=0,"—",TRIM($AN19)),"")</f>
      </c>
      <c r="AD19" s="201">
        <f>IF($C19,IF($N19=9999,9999,IF($J19="Completado",$N19,MAX($N19,'Historial de Sprints'!$C$7))),"")</f>
      </c>
      <c r="AE19" s="201">
        <f>IF($C19,IF($AD19=9999,"(Sin sprint)",$AD19),"")</f>
      </c>
      <c r="AF19" s="201">
        <f>IF($C19,AND($N19&lt;&gt;9999,$AD19&lt;&gt;$N19),FALSE)</f>
      </c>
      <c r="AG19" s="201">
        <f>IF($AF19,'Historial de Sprints'!$C$5+$N19*'Historial de Sprints'!$C$6-1,"")</f>
      </c>
      <c r="AH19" s="202">
        <f>IF($AF19,"No completada al cierre del Sprint "&amp;$N19&amp;" -&gt; reasignada al Sprint "&amp;$AD19,"")</f>
      </c>
      <c r="AI19" s="201">
        <f>IF($AF19,$N19*100000+ROW(),"")</f>
      </c>
      <c r="AJ19" s="201">
        <f>IF($C19,$AA19*1000000-MEDIAN(-9999,$K19,9999)*100+(300-ROW()),"")</f>
      </c>
      <c r="AK19" s="201">
        <f>IF($C19,IF($J19="Completado",0,IF($K19&lt;0,1,IF($K19&lt;=3,0.9,IF($K19&lt;=7,0.7,IF($K19&lt;=14,0.45,0.2))))),"")</f>
      </c>
      <c r="AL19" s="201">
        <f>IF($C19,IF($J19="Completado",0,MEDIAN(0,MAX(-$V19,$W19/30),1)),"")</f>
      </c>
      <c r="AM19" s="201">
        <f>IF($C19,IF($J19="Completado",0,IF($Z19,1,IF(AND($I19&lt;0.5,$K19&lt;=7),0.7,0.3))),"")</f>
      </c>
      <c r="AN19" s="202">
        <f>IF($C19,IF(OR($V19&lt;-0.2,$W19&gt;0),"ATRASO ","")&amp;IF($Z19,"BLOQUEO ","")&amp;IF($Y19&gt;8,"SOBRECARGA ","")&amp;IF($X19&gt;0,"DESVÍO-PLAN ",""),"")</f>
      </c>
    </row>
    <row r="20">
      <c r="A20" s="201">
        <f>ROW()</f>
      </c>
      <c r="B20" s="201">
        <f>ISTEXT('Proyecto Datos (OKR´s)'!$K20)</f>
      </c>
      <c r="C20" s="201">
        <f>AND(LEN('Proyecto Datos (OKR´s)'!$G20)&gt;0,NOT($B20),OR(ISNUMBER('Proyecto Datos (OKR´s)'!$F20),ISNUMBER('Proyecto Datos (OKR´s)'!$L20)))</f>
      </c>
      <c r="D20" s="202">
        <f>IF($C20,IFERROR(LOOKUP(2,1/((ISTEXT('Proyecto Datos (OKR´s)'!$K$7:$K20))*(LEN('Proyecto Datos (OKR´s)'!$G$7:$G20)&gt;0)),'Proyecto Datos (OKR´s)'!$G$7:$G20),""),"")</f>
      </c>
      <c r="E20" s="201">
        <f>IF($C20,'Proyecto Datos (OKR´s)'!$E20,"")</f>
      </c>
      <c r="F20" s="202">
        <f>IF($C20,'Proyecto Datos (OKR´s)'!$G20,"")</f>
      </c>
      <c r="G20" s="202">
        <f>IF($C20,IF('Proyecto Datos (OKR´s)'!$I20="","(Sin asignar)",'Proyecto Datos (OKR´s)'!$I20),"")</f>
      </c>
      <c r="H20" s="201">
        <f>IF($C20,IF(ISNUMBER('Proyecto Datos (OKR´s)'!$F20),'Proyecto Datos (OKR´s)'!$F20,'Proyecto Datos (OKR´s)'!$L20),"")</f>
      </c>
      <c r="I20" s="201">
        <f>IF($C20,'Proyecto Datos (OKR´s)'!$J20,"")</f>
      </c>
      <c r="J20" s="202">
        <f>IF($C20,IF($I20&gt;=1,"Completado",IF($H20&lt;TODAY(),"Vencido",IF(($H20-TODAY())&lt;='Entregas Próximas'!$M$3,"Próximo a vencer","En curso"))),"")</f>
      </c>
      <c r="K20" s="201">
        <f>IF($C20,$H20-TODAY(),"")</f>
      </c>
      <c r="L20" s="201">
        <f>IF($C20,$AD20*1000000+$H20+ROW()/100000,"")</f>
      </c>
      <c r="M20" s="201">
        <f>IF($C20,IF($AD20=9999,"(Sin sprint)",$AD20),"")</f>
      </c>
      <c r="N20" s="201">
        <f>IF($C20,IF('Proyecto Datos (OKR´s)'!$E20="",9999,'Proyecto Datos (OKR´s)'!$E20),"")</f>
      </c>
      <c r="O20" s="201">
        <f>IF($C20,"T"&amp;TEXT(ROW(),"000"),"")</f>
      </c>
      <c r="P20" s="201">
        <f>ROW()-6</f>
      </c>
      <c r="Q20" s="201">
        <f>IF(COUNTIF($AD$7:$AD$200,$P20)&gt;0,$P20,"")</f>
      </c>
      <c r="R20" s="201">
        <f>IF($C20,IF(ISNUMBER('Proyecto Datos (OKR´s)'!$L20),'Proyecto Datos (OKR´s)'!$L20,$H20),"")</f>
      </c>
      <c r="S20" s="201">
        <f>IF($C20,$R20-'Proyecto Datos (OKR´s)'!$K20+1,"")</f>
      </c>
      <c r="T20" s="201">
        <f>IF($C20,MAX(0,TODAY()-'Proyecto Datos (OKR´s)'!$K20),"")</f>
      </c>
      <c r="U20" s="201">
        <f>IF($C20,MEDIAN(0,(TODAY()-'Proyecto Datos (OKR´s)'!$K20)/MAX(1,$R20-'Proyecto Datos (OKR´s)'!$K20),1),"")</f>
      </c>
      <c r="V20" s="201">
        <f>IF($C20,$I20-$U20,"")</f>
      </c>
      <c r="W20" s="201">
        <f>IF($C20,IF($J20="Completado",0,MAX(0,TODAY()-$H20)),"")</f>
      </c>
      <c r="X20" s="201">
        <f>IF($C20,IF(ISNUMBER($H20),$R20-$H20,0),"")</f>
      </c>
      <c r="Y20" s="201">
        <f>IF($C20,COUNTIFS($G$7:$G$200,$G20,$J$7:$J$200,"&lt;&gt;Completado",$J$7:$J$200,"&lt;&gt;"),"")</f>
      </c>
      <c r="Z20" s="201">
        <f>IF($C20,AND($I20=0,'Proyecto Datos (OKR´s)'!$K20&lt;=TODAY(),$J20&lt;&gt;"Completado"),"")</f>
      </c>
      <c r="AA20" s="201">
        <f>IF($C20,ROUND(100*(0.35*$AK20+0.3*$AL20+0.2*$AM20+0.15*MEDIAN(0,($Y20-4)/8,1)),0),"")</f>
      </c>
      <c r="AB20" s="202">
        <f>IF($C20,IF($J20="Completado","—",IF($AA20&gt;=70,"Crítica",IF($AA20&gt;=45,"Alta",IF($AA20&gt;=25,"Media","Baja")))),"")</f>
      </c>
      <c r="AC20" s="202">
        <f>IF($C20,IF(LEN(TRIM($AN20))=0,"—",TRIM($AN20)),"")</f>
      </c>
      <c r="AD20" s="201">
        <f>IF($C20,IF($N20=9999,9999,IF($J20="Completado",$N20,MAX($N20,'Historial de Sprints'!$C$7))),"")</f>
      </c>
      <c r="AE20" s="201">
        <f>IF($C20,IF($AD20=9999,"(Sin sprint)",$AD20),"")</f>
      </c>
      <c r="AF20" s="201">
        <f>IF($C20,AND($N20&lt;&gt;9999,$AD20&lt;&gt;$N20),FALSE)</f>
      </c>
      <c r="AG20" s="201">
        <f>IF($AF20,'Historial de Sprints'!$C$5+$N20*'Historial de Sprints'!$C$6-1,"")</f>
      </c>
      <c r="AH20" s="202">
        <f>IF($AF20,"No completada al cierre del Sprint "&amp;$N20&amp;" -&gt; reasignada al Sprint "&amp;$AD20,"")</f>
      </c>
      <c r="AI20" s="201">
        <f>IF($AF20,$N20*100000+ROW(),"")</f>
      </c>
      <c r="AJ20" s="201">
        <f>IF($C20,$AA20*1000000-MEDIAN(-9999,$K20,9999)*100+(300-ROW()),"")</f>
      </c>
      <c r="AK20" s="201">
        <f>IF($C20,IF($J20="Completado",0,IF($K20&lt;0,1,IF($K20&lt;=3,0.9,IF($K20&lt;=7,0.7,IF($K20&lt;=14,0.45,0.2))))),"")</f>
      </c>
      <c r="AL20" s="201">
        <f>IF($C20,IF($J20="Completado",0,MEDIAN(0,MAX(-$V20,$W20/30),1)),"")</f>
      </c>
      <c r="AM20" s="201">
        <f>IF($C20,IF($J20="Completado",0,IF($Z20,1,IF(AND($I20&lt;0.5,$K20&lt;=7),0.7,0.3))),"")</f>
      </c>
      <c r="AN20" s="202">
        <f>IF($C20,IF(OR($V20&lt;-0.2,$W20&gt;0),"ATRASO ","")&amp;IF($Z20,"BLOQUEO ","")&amp;IF($Y20&gt;8,"SOBRECARGA ","")&amp;IF($X20&gt;0,"DESVÍO-PLAN ",""),"")</f>
      </c>
    </row>
    <row r="21">
      <c r="A21" s="201">
        <f>ROW()</f>
      </c>
      <c r="B21" s="201">
        <f>ISTEXT('Proyecto Datos (OKR´s)'!$K21)</f>
      </c>
      <c r="C21" s="201">
        <f>AND(LEN('Proyecto Datos (OKR´s)'!$G21)&gt;0,NOT($B21),OR(ISNUMBER('Proyecto Datos (OKR´s)'!$F21),ISNUMBER('Proyecto Datos (OKR´s)'!$L21)))</f>
      </c>
      <c r="D21" s="202">
        <f>IF($C21,IFERROR(LOOKUP(2,1/((ISTEXT('Proyecto Datos (OKR´s)'!$K$7:$K21))*(LEN('Proyecto Datos (OKR´s)'!$G$7:$G21)&gt;0)),'Proyecto Datos (OKR´s)'!$G$7:$G21),""),"")</f>
      </c>
      <c r="E21" s="201">
        <f>IF($C21,'Proyecto Datos (OKR´s)'!$E21,"")</f>
      </c>
      <c r="F21" s="202">
        <f>IF($C21,'Proyecto Datos (OKR´s)'!$G21,"")</f>
      </c>
      <c r="G21" s="202">
        <f>IF($C21,IF('Proyecto Datos (OKR´s)'!$I21="","(Sin asignar)",'Proyecto Datos (OKR´s)'!$I21),"")</f>
      </c>
      <c r="H21" s="201">
        <f>IF($C21,IF(ISNUMBER('Proyecto Datos (OKR´s)'!$F21),'Proyecto Datos (OKR´s)'!$F21,'Proyecto Datos (OKR´s)'!$L21),"")</f>
      </c>
      <c r="I21" s="201">
        <f>IF($C21,'Proyecto Datos (OKR´s)'!$J21,"")</f>
      </c>
      <c r="J21" s="202">
        <f>IF($C21,IF($I21&gt;=1,"Completado",IF($H21&lt;TODAY(),"Vencido",IF(($H21-TODAY())&lt;='Entregas Próximas'!$M$3,"Próximo a vencer","En curso"))),"")</f>
      </c>
      <c r="K21" s="201">
        <f>IF($C21,$H21-TODAY(),"")</f>
      </c>
      <c r="L21" s="201">
        <f>IF($C21,$AD21*1000000+$H21+ROW()/100000,"")</f>
      </c>
      <c r="M21" s="201">
        <f>IF($C21,IF($AD21=9999,"(Sin sprint)",$AD21),"")</f>
      </c>
      <c r="N21" s="201">
        <f>IF($C21,IF('Proyecto Datos (OKR´s)'!$E21="",9999,'Proyecto Datos (OKR´s)'!$E21),"")</f>
      </c>
      <c r="O21" s="201">
        <f>IF($C21,"T"&amp;TEXT(ROW(),"000"),"")</f>
      </c>
      <c r="P21" s="201">
        <f>ROW()-6</f>
      </c>
      <c r="Q21" s="201">
        <f>IF(COUNTIF($AD$7:$AD$200,$P21)&gt;0,$P21,"")</f>
      </c>
      <c r="R21" s="201">
        <f>IF($C21,IF(ISNUMBER('Proyecto Datos (OKR´s)'!$L21),'Proyecto Datos (OKR´s)'!$L21,$H21),"")</f>
      </c>
      <c r="S21" s="201">
        <f>IF($C21,$R21-'Proyecto Datos (OKR´s)'!$K21+1,"")</f>
      </c>
      <c r="T21" s="201">
        <f>IF($C21,MAX(0,TODAY()-'Proyecto Datos (OKR´s)'!$K21),"")</f>
      </c>
      <c r="U21" s="201">
        <f>IF($C21,MEDIAN(0,(TODAY()-'Proyecto Datos (OKR´s)'!$K21)/MAX(1,$R21-'Proyecto Datos (OKR´s)'!$K21),1),"")</f>
      </c>
      <c r="V21" s="201">
        <f>IF($C21,$I21-$U21,"")</f>
      </c>
      <c r="W21" s="201">
        <f>IF($C21,IF($J21="Completado",0,MAX(0,TODAY()-$H21)),"")</f>
      </c>
      <c r="X21" s="201">
        <f>IF($C21,IF(ISNUMBER($H21),$R21-$H21,0),"")</f>
      </c>
      <c r="Y21" s="201">
        <f>IF($C21,COUNTIFS($G$7:$G$200,$G21,$J$7:$J$200,"&lt;&gt;Completado",$J$7:$J$200,"&lt;&gt;"),"")</f>
      </c>
      <c r="Z21" s="201">
        <f>IF($C21,AND($I21=0,'Proyecto Datos (OKR´s)'!$K21&lt;=TODAY(),$J21&lt;&gt;"Completado"),"")</f>
      </c>
      <c r="AA21" s="201">
        <f>IF($C21,ROUND(100*(0.35*$AK21+0.3*$AL21+0.2*$AM21+0.15*MEDIAN(0,($Y21-4)/8,1)),0),"")</f>
      </c>
      <c r="AB21" s="202">
        <f>IF($C21,IF($J21="Completado","—",IF($AA21&gt;=70,"Crítica",IF($AA21&gt;=45,"Alta",IF($AA21&gt;=25,"Media","Baja")))),"")</f>
      </c>
      <c r="AC21" s="202">
        <f>IF($C21,IF(LEN(TRIM($AN21))=0,"—",TRIM($AN21)),"")</f>
      </c>
      <c r="AD21" s="201">
        <f>IF($C21,IF($N21=9999,9999,IF($J21="Completado",$N21,MAX($N21,'Historial de Sprints'!$C$7))),"")</f>
      </c>
      <c r="AE21" s="201">
        <f>IF($C21,IF($AD21=9999,"(Sin sprint)",$AD21),"")</f>
      </c>
      <c r="AF21" s="201">
        <f>IF($C21,AND($N21&lt;&gt;9999,$AD21&lt;&gt;$N21),FALSE)</f>
      </c>
      <c r="AG21" s="201">
        <f>IF($AF21,'Historial de Sprints'!$C$5+$N21*'Historial de Sprints'!$C$6-1,"")</f>
      </c>
      <c r="AH21" s="202">
        <f>IF($AF21,"No completada al cierre del Sprint "&amp;$N21&amp;" -&gt; reasignada al Sprint "&amp;$AD21,"")</f>
      </c>
      <c r="AI21" s="201">
        <f>IF($AF21,$N21*100000+ROW(),"")</f>
      </c>
      <c r="AJ21" s="201">
        <f>IF($C21,$AA21*1000000-MEDIAN(-9999,$K21,9999)*100+(300-ROW()),"")</f>
      </c>
      <c r="AK21" s="201">
        <f>IF($C21,IF($J21="Completado",0,IF($K21&lt;0,1,IF($K21&lt;=3,0.9,IF($K21&lt;=7,0.7,IF($K21&lt;=14,0.45,0.2))))),"")</f>
      </c>
      <c r="AL21" s="201">
        <f>IF($C21,IF($J21="Completado",0,MEDIAN(0,MAX(-$V21,$W21/30),1)),"")</f>
      </c>
      <c r="AM21" s="201">
        <f>IF($C21,IF($J21="Completado",0,IF($Z21,1,IF(AND($I21&lt;0.5,$K21&lt;=7),0.7,0.3))),"")</f>
      </c>
      <c r="AN21" s="202">
        <f>IF($C21,IF(OR($V21&lt;-0.2,$W21&gt;0),"ATRASO ","")&amp;IF($Z21,"BLOQUEO ","")&amp;IF($Y21&gt;8,"SOBRECARGA ","")&amp;IF($X21&gt;0,"DESVÍO-PLAN ",""),"")</f>
      </c>
    </row>
    <row r="22">
      <c r="A22" s="201">
        <f>ROW()</f>
      </c>
      <c r="B22" s="201">
        <f>ISTEXT('Proyecto Datos (OKR´s)'!$K22)</f>
      </c>
      <c r="C22" s="201">
        <f>AND(LEN('Proyecto Datos (OKR´s)'!$G22)&gt;0,NOT($B22),OR(ISNUMBER('Proyecto Datos (OKR´s)'!$F22),ISNUMBER('Proyecto Datos (OKR´s)'!$L22)))</f>
      </c>
      <c r="D22" s="202">
        <f>IF($C22,IFERROR(LOOKUP(2,1/((ISTEXT('Proyecto Datos (OKR´s)'!$K$7:$K22))*(LEN('Proyecto Datos (OKR´s)'!$G$7:$G22)&gt;0)),'Proyecto Datos (OKR´s)'!$G$7:$G22),""),"")</f>
      </c>
      <c r="E22" s="201">
        <f>IF($C22,'Proyecto Datos (OKR´s)'!$E22,"")</f>
      </c>
      <c r="F22" s="202">
        <f>IF($C22,'Proyecto Datos (OKR´s)'!$G22,"")</f>
      </c>
      <c r="G22" s="202">
        <f>IF($C22,IF('Proyecto Datos (OKR´s)'!$I22="","(Sin asignar)",'Proyecto Datos (OKR´s)'!$I22),"")</f>
      </c>
      <c r="H22" s="201">
        <f>IF($C22,IF(ISNUMBER('Proyecto Datos (OKR´s)'!$F22),'Proyecto Datos (OKR´s)'!$F22,'Proyecto Datos (OKR´s)'!$L22),"")</f>
      </c>
      <c r="I22" s="201">
        <f>IF($C22,'Proyecto Datos (OKR´s)'!$J22,"")</f>
      </c>
      <c r="J22" s="202">
        <f>IF($C22,IF($I22&gt;=1,"Completado",IF($H22&lt;TODAY(),"Vencido",IF(($H22-TODAY())&lt;='Entregas Próximas'!$M$3,"Próximo a vencer","En curso"))),"")</f>
      </c>
      <c r="K22" s="201">
        <f>IF($C22,$H22-TODAY(),"")</f>
      </c>
      <c r="L22" s="201">
        <f>IF($C22,$AD22*1000000+$H22+ROW()/100000,"")</f>
      </c>
      <c r="M22" s="201">
        <f>IF($C22,IF($AD22=9999,"(Sin sprint)",$AD22),"")</f>
      </c>
      <c r="N22" s="201">
        <f>IF($C22,IF('Proyecto Datos (OKR´s)'!$E22="",9999,'Proyecto Datos (OKR´s)'!$E22),"")</f>
      </c>
      <c r="O22" s="201">
        <f>IF($C22,"T"&amp;TEXT(ROW(),"000"),"")</f>
      </c>
      <c r="P22" s="201">
        <f>ROW()-6</f>
      </c>
      <c r="Q22" s="201">
        <f>IF(COUNTIF($AD$7:$AD$200,$P22)&gt;0,$P22,"")</f>
      </c>
      <c r="R22" s="201">
        <f>IF($C22,IF(ISNUMBER('Proyecto Datos (OKR´s)'!$L22),'Proyecto Datos (OKR´s)'!$L22,$H22),"")</f>
      </c>
      <c r="S22" s="201">
        <f>IF($C22,$R22-'Proyecto Datos (OKR´s)'!$K22+1,"")</f>
      </c>
      <c r="T22" s="201">
        <f>IF($C22,MAX(0,TODAY()-'Proyecto Datos (OKR´s)'!$K22),"")</f>
      </c>
      <c r="U22" s="201">
        <f>IF($C22,MEDIAN(0,(TODAY()-'Proyecto Datos (OKR´s)'!$K22)/MAX(1,$R22-'Proyecto Datos (OKR´s)'!$K22),1),"")</f>
      </c>
      <c r="V22" s="201">
        <f>IF($C22,$I22-$U22,"")</f>
      </c>
      <c r="W22" s="201">
        <f>IF($C22,IF($J22="Completado",0,MAX(0,TODAY()-$H22)),"")</f>
      </c>
      <c r="X22" s="201">
        <f>IF($C22,IF(ISNUMBER($H22),$R22-$H22,0),"")</f>
      </c>
      <c r="Y22" s="201">
        <f>IF($C22,COUNTIFS($G$7:$G$200,$G22,$J$7:$J$200,"&lt;&gt;Completado",$J$7:$J$200,"&lt;&gt;"),"")</f>
      </c>
      <c r="Z22" s="201">
        <f>IF($C22,AND($I22=0,'Proyecto Datos (OKR´s)'!$K22&lt;=TODAY(),$J22&lt;&gt;"Completado"),"")</f>
      </c>
      <c r="AA22" s="201">
        <f>IF($C22,ROUND(100*(0.35*$AK22+0.3*$AL22+0.2*$AM22+0.15*MEDIAN(0,($Y22-4)/8,1)),0),"")</f>
      </c>
      <c r="AB22" s="202">
        <f>IF($C22,IF($J22="Completado","—",IF($AA22&gt;=70,"Crítica",IF($AA22&gt;=45,"Alta",IF($AA22&gt;=25,"Media","Baja")))),"")</f>
      </c>
      <c r="AC22" s="202">
        <f>IF($C22,IF(LEN(TRIM($AN22))=0,"—",TRIM($AN22)),"")</f>
      </c>
      <c r="AD22" s="201">
        <f>IF($C22,IF($N22=9999,9999,IF($J22="Completado",$N22,MAX($N22,'Historial de Sprints'!$C$7))),"")</f>
      </c>
      <c r="AE22" s="201">
        <f>IF($C22,IF($AD22=9999,"(Sin sprint)",$AD22),"")</f>
      </c>
      <c r="AF22" s="201">
        <f>IF($C22,AND($N22&lt;&gt;9999,$AD22&lt;&gt;$N22),FALSE)</f>
      </c>
      <c r="AG22" s="201">
        <f>IF($AF22,'Historial de Sprints'!$C$5+$N22*'Historial de Sprints'!$C$6-1,"")</f>
      </c>
      <c r="AH22" s="202">
        <f>IF($AF22,"No completada al cierre del Sprint "&amp;$N22&amp;" -&gt; reasignada al Sprint "&amp;$AD22,"")</f>
      </c>
      <c r="AI22" s="201">
        <f>IF($AF22,$N22*100000+ROW(),"")</f>
      </c>
      <c r="AJ22" s="201">
        <f>IF($C22,$AA22*1000000-MEDIAN(-9999,$K22,9999)*100+(300-ROW()),"")</f>
      </c>
      <c r="AK22" s="201">
        <f>IF($C22,IF($J22="Completado",0,IF($K22&lt;0,1,IF($K22&lt;=3,0.9,IF($K22&lt;=7,0.7,IF($K22&lt;=14,0.45,0.2))))),"")</f>
      </c>
      <c r="AL22" s="201">
        <f>IF($C22,IF($J22="Completado",0,MEDIAN(0,MAX(-$V22,$W22/30),1)),"")</f>
      </c>
      <c r="AM22" s="201">
        <f>IF($C22,IF($J22="Completado",0,IF($Z22,1,IF(AND($I22&lt;0.5,$K22&lt;=7),0.7,0.3))),"")</f>
      </c>
      <c r="AN22" s="202">
        <f>IF($C22,IF(OR($V22&lt;-0.2,$W22&gt;0),"ATRASO ","")&amp;IF($Z22,"BLOQUEO ","")&amp;IF($Y22&gt;8,"SOBRECARGA ","")&amp;IF($X22&gt;0,"DESVÍO-PLAN ",""),"")</f>
      </c>
    </row>
    <row r="23">
      <c r="A23" s="201">
        <f>ROW()</f>
      </c>
      <c r="B23" s="201">
        <f>ISTEXT('Proyecto Datos (OKR´s)'!$K23)</f>
      </c>
      <c r="C23" s="201">
        <f>AND(LEN('Proyecto Datos (OKR´s)'!$G23)&gt;0,NOT($B23),OR(ISNUMBER('Proyecto Datos (OKR´s)'!$F23),ISNUMBER('Proyecto Datos (OKR´s)'!$L23)))</f>
      </c>
      <c r="D23" s="202">
        <f>IF($C23,IFERROR(LOOKUP(2,1/((ISTEXT('Proyecto Datos (OKR´s)'!$K$7:$K23))*(LEN('Proyecto Datos (OKR´s)'!$G$7:$G23)&gt;0)),'Proyecto Datos (OKR´s)'!$G$7:$G23),""),"")</f>
      </c>
      <c r="E23" s="201">
        <f>IF($C23,'Proyecto Datos (OKR´s)'!$E23,"")</f>
      </c>
      <c r="F23" s="202">
        <f>IF($C23,'Proyecto Datos (OKR´s)'!$G23,"")</f>
      </c>
      <c r="G23" s="202">
        <f>IF($C23,IF('Proyecto Datos (OKR´s)'!$I23="","(Sin asignar)",'Proyecto Datos (OKR´s)'!$I23),"")</f>
      </c>
      <c r="H23" s="201">
        <f>IF($C23,IF(ISNUMBER('Proyecto Datos (OKR´s)'!$F23),'Proyecto Datos (OKR´s)'!$F23,'Proyecto Datos (OKR´s)'!$L23),"")</f>
      </c>
      <c r="I23" s="201">
        <f>IF($C23,'Proyecto Datos (OKR´s)'!$J23,"")</f>
      </c>
      <c r="J23" s="202">
        <f>IF($C23,IF($I23&gt;=1,"Completado",IF($H23&lt;TODAY(),"Vencido",IF(($H23-TODAY())&lt;='Entregas Próximas'!$M$3,"Próximo a vencer","En curso"))),"")</f>
      </c>
      <c r="K23" s="201">
        <f>IF($C23,$H23-TODAY(),"")</f>
      </c>
      <c r="L23" s="201">
        <f>IF($C23,$AD23*1000000+$H23+ROW()/100000,"")</f>
      </c>
      <c r="M23" s="201">
        <f>IF($C23,IF($AD23=9999,"(Sin sprint)",$AD23),"")</f>
      </c>
      <c r="N23" s="201">
        <f>IF($C23,IF('Proyecto Datos (OKR´s)'!$E23="",9999,'Proyecto Datos (OKR´s)'!$E23),"")</f>
      </c>
      <c r="O23" s="201">
        <f>IF($C23,"T"&amp;TEXT(ROW(),"000"),"")</f>
      </c>
      <c r="P23" s="201">
        <f>ROW()-6</f>
      </c>
      <c r="Q23" s="201">
        <f>IF(COUNTIF($AD$7:$AD$200,$P23)&gt;0,$P23,"")</f>
      </c>
      <c r="R23" s="201">
        <f>IF($C23,IF(ISNUMBER('Proyecto Datos (OKR´s)'!$L23),'Proyecto Datos (OKR´s)'!$L23,$H23),"")</f>
      </c>
      <c r="S23" s="201">
        <f>IF($C23,$R23-'Proyecto Datos (OKR´s)'!$K23+1,"")</f>
      </c>
      <c r="T23" s="201">
        <f>IF($C23,MAX(0,TODAY()-'Proyecto Datos (OKR´s)'!$K23),"")</f>
      </c>
      <c r="U23" s="201">
        <f>IF($C23,MEDIAN(0,(TODAY()-'Proyecto Datos (OKR´s)'!$K23)/MAX(1,$R23-'Proyecto Datos (OKR´s)'!$K23),1),"")</f>
      </c>
      <c r="V23" s="201">
        <f>IF($C23,$I23-$U23,"")</f>
      </c>
      <c r="W23" s="201">
        <f>IF($C23,IF($J23="Completado",0,MAX(0,TODAY()-$H23)),"")</f>
      </c>
      <c r="X23" s="201">
        <f>IF($C23,IF(ISNUMBER($H23),$R23-$H23,0),"")</f>
      </c>
      <c r="Y23" s="201">
        <f>IF($C23,COUNTIFS($G$7:$G$200,$G23,$J$7:$J$200,"&lt;&gt;Completado",$J$7:$J$200,"&lt;&gt;"),"")</f>
      </c>
      <c r="Z23" s="201">
        <f>IF($C23,AND($I23=0,'Proyecto Datos (OKR´s)'!$K23&lt;=TODAY(),$J23&lt;&gt;"Completado"),"")</f>
      </c>
      <c r="AA23" s="201">
        <f>IF($C23,ROUND(100*(0.35*$AK23+0.3*$AL23+0.2*$AM23+0.15*MEDIAN(0,($Y23-4)/8,1)),0),"")</f>
      </c>
      <c r="AB23" s="202">
        <f>IF($C23,IF($J23="Completado","—",IF($AA23&gt;=70,"Crítica",IF($AA23&gt;=45,"Alta",IF($AA23&gt;=25,"Media","Baja")))),"")</f>
      </c>
      <c r="AC23" s="202">
        <f>IF($C23,IF(LEN(TRIM($AN23))=0,"—",TRIM($AN23)),"")</f>
      </c>
      <c r="AD23" s="201">
        <f>IF($C23,IF($N23=9999,9999,IF($J23="Completado",$N23,MAX($N23,'Historial de Sprints'!$C$7))),"")</f>
      </c>
      <c r="AE23" s="201">
        <f>IF($C23,IF($AD23=9999,"(Sin sprint)",$AD23),"")</f>
      </c>
      <c r="AF23" s="201">
        <f>IF($C23,AND($N23&lt;&gt;9999,$AD23&lt;&gt;$N23),FALSE)</f>
      </c>
      <c r="AG23" s="201">
        <f>IF($AF23,'Historial de Sprints'!$C$5+$N23*'Historial de Sprints'!$C$6-1,"")</f>
      </c>
      <c r="AH23" s="202">
        <f>IF($AF23,"No completada al cierre del Sprint "&amp;$N23&amp;" -&gt; reasignada al Sprint "&amp;$AD23,"")</f>
      </c>
      <c r="AI23" s="201">
        <f>IF($AF23,$N23*100000+ROW(),"")</f>
      </c>
      <c r="AJ23" s="201">
        <f>IF($C23,$AA23*1000000-MEDIAN(-9999,$K23,9999)*100+(300-ROW()),"")</f>
      </c>
      <c r="AK23" s="201">
        <f>IF($C23,IF($J23="Completado",0,IF($K23&lt;0,1,IF($K23&lt;=3,0.9,IF($K23&lt;=7,0.7,IF($K23&lt;=14,0.45,0.2))))),"")</f>
      </c>
      <c r="AL23" s="201">
        <f>IF($C23,IF($J23="Completado",0,MEDIAN(0,MAX(-$V23,$W23/30),1)),"")</f>
      </c>
      <c r="AM23" s="201">
        <f>IF($C23,IF($J23="Completado",0,IF($Z23,1,IF(AND($I23&lt;0.5,$K23&lt;=7),0.7,0.3))),"")</f>
      </c>
      <c r="AN23" s="202">
        <f>IF($C23,IF(OR($V23&lt;-0.2,$W23&gt;0),"ATRASO ","")&amp;IF($Z23,"BLOQUEO ","")&amp;IF($Y23&gt;8,"SOBRECARGA ","")&amp;IF($X23&gt;0,"DESVÍO-PLAN ",""),"")</f>
      </c>
    </row>
    <row r="24">
      <c r="A24" s="201">
        <f>ROW()</f>
      </c>
      <c r="B24" s="201">
        <f>ISTEXT('Proyecto Datos (OKR´s)'!$K24)</f>
      </c>
      <c r="C24" s="201">
        <f>AND(LEN('Proyecto Datos (OKR´s)'!$G24)&gt;0,NOT($B24),OR(ISNUMBER('Proyecto Datos (OKR´s)'!$F24),ISNUMBER('Proyecto Datos (OKR´s)'!$L24)))</f>
      </c>
      <c r="D24" s="202">
        <f>IF($C24,IFERROR(LOOKUP(2,1/((ISTEXT('Proyecto Datos (OKR´s)'!$K$7:$K24))*(LEN('Proyecto Datos (OKR´s)'!$G$7:$G24)&gt;0)),'Proyecto Datos (OKR´s)'!$G$7:$G24),""),"")</f>
      </c>
      <c r="E24" s="201">
        <f>IF($C24,'Proyecto Datos (OKR´s)'!$E24,"")</f>
      </c>
      <c r="F24" s="202">
        <f>IF($C24,'Proyecto Datos (OKR´s)'!$G24,"")</f>
      </c>
      <c r="G24" s="202">
        <f>IF($C24,IF('Proyecto Datos (OKR´s)'!$I24="","(Sin asignar)",'Proyecto Datos (OKR´s)'!$I24),"")</f>
      </c>
      <c r="H24" s="201">
        <f>IF($C24,IF(ISNUMBER('Proyecto Datos (OKR´s)'!$F24),'Proyecto Datos (OKR´s)'!$F24,'Proyecto Datos (OKR´s)'!$L24),"")</f>
      </c>
      <c r="I24" s="201">
        <f>IF($C24,'Proyecto Datos (OKR´s)'!$J24,"")</f>
      </c>
      <c r="J24" s="202">
        <f>IF($C24,IF($I24&gt;=1,"Completado",IF($H24&lt;TODAY(),"Vencido",IF(($H24-TODAY())&lt;='Entregas Próximas'!$M$3,"Próximo a vencer","En curso"))),"")</f>
      </c>
      <c r="K24" s="201">
        <f>IF($C24,$H24-TODAY(),"")</f>
      </c>
      <c r="L24" s="201">
        <f>IF($C24,$AD24*1000000+$H24+ROW()/100000,"")</f>
      </c>
      <c r="M24" s="201">
        <f>IF($C24,IF($AD24=9999,"(Sin sprint)",$AD24),"")</f>
      </c>
      <c r="N24" s="201">
        <f>IF($C24,IF('Proyecto Datos (OKR´s)'!$E24="",9999,'Proyecto Datos (OKR´s)'!$E24),"")</f>
      </c>
      <c r="O24" s="201">
        <f>IF($C24,"T"&amp;TEXT(ROW(),"000"),"")</f>
      </c>
      <c r="P24" s="201">
        <f>ROW()-6</f>
      </c>
      <c r="Q24" s="201">
        <f>IF(COUNTIF($AD$7:$AD$200,$P24)&gt;0,$P24,"")</f>
      </c>
      <c r="R24" s="201">
        <f>IF($C24,IF(ISNUMBER('Proyecto Datos (OKR´s)'!$L24),'Proyecto Datos (OKR´s)'!$L24,$H24),"")</f>
      </c>
      <c r="S24" s="201">
        <f>IF($C24,$R24-'Proyecto Datos (OKR´s)'!$K24+1,"")</f>
      </c>
      <c r="T24" s="201">
        <f>IF($C24,MAX(0,TODAY()-'Proyecto Datos (OKR´s)'!$K24),"")</f>
      </c>
      <c r="U24" s="201">
        <f>IF($C24,MEDIAN(0,(TODAY()-'Proyecto Datos (OKR´s)'!$K24)/MAX(1,$R24-'Proyecto Datos (OKR´s)'!$K24),1),"")</f>
      </c>
      <c r="V24" s="201">
        <f>IF($C24,$I24-$U24,"")</f>
      </c>
      <c r="W24" s="201">
        <f>IF($C24,IF($J24="Completado",0,MAX(0,TODAY()-$H24)),"")</f>
      </c>
      <c r="X24" s="201">
        <f>IF($C24,IF(ISNUMBER($H24),$R24-$H24,0),"")</f>
      </c>
      <c r="Y24" s="201">
        <f>IF($C24,COUNTIFS($G$7:$G$200,$G24,$J$7:$J$200,"&lt;&gt;Completado",$J$7:$J$200,"&lt;&gt;"),"")</f>
      </c>
      <c r="Z24" s="201">
        <f>IF($C24,AND($I24=0,'Proyecto Datos (OKR´s)'!$K24&lt;=TODAY(),$J24&lt;&gt;"Completado"),"")</f>
      </c>
      <c r="AA24" s="201">
        <f>IF($C24,ROUND(100*(0.35*$AK24+0.3*$AL24+0.2*$AM24+0.15*MEDIAN(0,($Y24-4)/8,1)),0),"")</f>
      </c>
      <c r="AB24" s="202">
        <f>IF($C24,IF($J24="Completado","—",IF($AA24&gt;=70,"Crítica",IF($AA24&gt;=45,"Alta",IF($AA24&gt;=25,"Media","Baja")))),"")</f>
      </c>
      <c r="AC24" s="202">
        <f>IF($C24,IF(LEN(TRIM($AN24))=0,"—",TRIM($AN24)),"")</f>
      </c>
      <c r="AD24" s="201">
        <f>IF($C24,IF($N24=9999,9999,IF($J24="Completado",$N24,MAX($N24,'Historial de Sprints'!$C$7))),"")</f>
      </c>
      <c r="AE24" s="201">
        <f>IF($C24,IF($AD24=9999,"(Sin sprint)",$AD24),"")</f>
      </c>
      <c r="AF24" s="201">
        <f>IF($C24,AND($N24&lt;&gt;9999,$AD24&lt;&gt;$N24),FALSE)</f>
      </c>
      <c r="AG24" s="201">
        <f>IF($AF24,'Historial de Sprints'!$C$5+$N24*'Historial de Sprints'!$C$6-1,"")</f>
      </c>
      <c r="AH24" s="202">
        <f>IF($AF24,"No completada al cierre del Sprint "&amp;$N24&amp;" -&gt; reasignada al Sprint "&amp;$AD24,"")</f>
      </c>
      <c r="AI24" s="201">
        <f>IF($AF24,$N24*100000+ROW(),"")</f>
      </c>
      <c r="AJ24" s="201">
        <f>IF($C24,$AA24*1000000-MEDIAN(-9999,$K24,9999)*100+(300-ROW()),"")</f>
      </c>
      <c r="AK24" s="201">
        <f>IF($C24,IF($J24="Completado",0,IF($K24&lt;0,1,IF($K24&lt;=3,0.9,IF($K24&lt;=7,0.7,IF($K24&lt;=14,0.45,0.2))))),"")</f>
      </c>
      <c r="AL24" s="201">
        <f>IF($C24,IF($J24="Completado",0,MEDIAN(0,MAX(-$V24,$W24/30),1)),"")</f>
      </c>
      <c r="AM24" s="201">
        <f>IF($C24,IF($J24="Completado",0,IF($Z24,1,IF(AND($I24&lt;0.5,$K24&lt;=7),0.7,0.3))),"")</f>
      </c>
      <c r="AN24" s="202">
        <f>IF($C24,IF(OR($V24&lt;-0.2,$W24&gt;0),"ATRASO ","")&amp;IF($Z24,"BLOQUEO ","")&amp;IF($Y24&gt;8,"SOBRECARGA ","")&amp;IF($X24&gt;0,"DESVÍO-PLAN ",""),"")</f>
      </c>
    </row>
    <row r="25">
      <c r="A25" s="201">
        <f>ROW()</f>
      </c>
      <c r="B25" s="201">
        <f>ISTEXT('Proyecto Datos (OKR´s)'!$K25)</f>
      </c>
      <c r="C25" s="201">
        <f>AND(LEN('Proyecto Datos (OKR´s)'!$G25)&gt;0,NOT($B25),OR(ISNUMBER('Proyecto Datos (OKR´s)'!$F25),ISNUMBER('Proyecto Datos (OKR´s)'!$L25)))</f>
      </c>
      <c r="D25" s="202">
        <f>IF($C25,IFERROR(LOOKUP(2,1/((ISTEXT('Proyecto Datos (OKR´s)'!$K$7:$K25))*(LEN('Proyecto Datos (OKR´s)'!$G$7:$G25)&gt;0)),'Proyecto Datos (OKR´s)'!$G$7:$G25),""),"")</f>
      </c>
      <c r="E25" s="201">
        <f>IF($C25,'Proyecto Datos (OKR´s)'!$E25,"")</f>
      </c>
      <c r="F25" s="202">
        <f>IF($C25,'Proyecto Datos (OKR´s)'!$G25,"")</f>
      </c>
      <c r="G25" s="202">
        <f>IF($C25,IF('Proyecto Datos (OKR´s)'!$I25="","(Sin asignar)",'Proyecto Datos (OKR´s)'!$I25),"")</f>
      </c>
      <c r="H25" s="201">
        <f>IF($C25,IF(ISNUMBER('Proyecto Datos (OKR´s)'!$F25),'Proyecto Datos (OKR´s)'!$F25,'Proyecto Datos (OKR´s)'!$L25),"")</f>
      </c>
      <c r="I25" s="201">
        <f>IF($C25,'Proyecto Datos (OKR´s)'!$J25,"")</f>
      </c>
      <c r="J25" s="202">
        <f>IF($C25,IF($I25&gt;=1,"Completado",IF($H25&lt;TODAY(),"Vencido",IF(($H25-TODAY())&lt;='Entregas Próximas'!$M$3,"Próximo a vencer","En curso"))),"")</f>
      </c>
      <c r="K25" s="201">
        <f>IF($C25,$H25-TODAY(),"")</f>
      </c>
      <c r="L25" s="201">
        <f>IF($C25,$AD25*1000000+$H25+ROW()/100000,"")</f>
      </c>
      <c r="M25" s="201">
        <f>IF($C25,IF($AD25=9999,"(Sin sprint)",$AD25),"")</f>
      </c>
      <c r="N25" s="201">
        <f>IF($C25,IF('Proyecto Datos (OKR´s)'!$E25="",9999,'Proyecto Datos (OKR´s)'!$E25),"")</f>
      </c>
      <c r="O25" s="201">
        <f>IF($C25,"T"&amp;TEXT(ROW(),"000"),"")</f>
      </c>
      <c r="P25" s="201">
        <f>ROW()-6</f>
      </c>
      <c r="Q25" s="201">
        <f>IF(COUNTIF($AD$7:$AD$200,$P25)&gt;0,$P25,"")</f>
      </c>
      <c r="R25" s="201">
        <f>IF($C25,IF(ISNUMBER('Proyecto Datos (OKR´s)'!$L25),'Proyecto Datos (OKR´s)'!$L25,$H25),"")</f>
      </c>
      <c r="S25" s="201">
        <f>IF($C25,$R25-'Proyecto Datos (OKR´s)'!$K25+1,"")</f>
      </c>
      <c r="T25" s="201">
        <f>IF($C25,MAX(0,TODAY()-'Proyecto Datos (OKR´s)'!$K25),"")</f>
      </c>
      <c r="U25" s="201">
        <f>IF($C25,MEDIAN(0,(TODAY()-'Proyecto Datos (OKR´s)'!$K25)/MAX(1,$R25-'Proyecto Datos (OKR´s)'!$K25),1),"")</f>
      </c>
      <c r="V25" s="201">
        <f>IF($C25,$I25-$U25,"")</f>
      </c>
      <c r="W25" s="201">
        <f>IF($C25,IF($J25="Completado",0,MAX(0,TODAY()-$H25)),"")</f>
      </c>
      <c r="X25" s="201">
        <f>IF($C25,IF(ISNUMBER($H25),$R25-$H25,0),"")</f>
      </c>
      <c r="Y25" s="201">
        <f>IF($C25,COUNTIFS($G$7:$G$200,$G25,$J$7:$J$200,"&lt;&gt;Completado",$J$7:$J$200,"&lt;&gt;"),"")</f>
      </c>
      <c r="Z25" s="201">
        <f>IF($C25,AND($I25=0,'Proyecto Datos (OKR´s)'!$K25&lt;=TODAY(),$J25&lt;&gt;"Completado"),"")</f>
      </c>
      <c r="AA25" s="201">
        <f>IF($C25,ROUND(100*(0.35*$AK25+0.3*$AL25+0.2*$AM25+0.15*MEDIAN(0,($Y25-4)/8,1)),0),"")</f>
      </c>
      <c r="AB25" s="202">
        <f>IF($C25,IF($J25="Completado","—",IF($AA25&gt;=70,"Crítica",IF($AA25&gt;=45,"Alta",IF($AA25&gt;=25,"Media","Baja")))),"")</f>
      </c>
      <c r="AC25" s="202">
        <f>IF($C25,IF(LEN(TRIM($AN25))=0,"—",TRIM($AN25)),"")</f>
      </c>
      <c r="AD25" s="201">
        <f>IF($C25,IF($N25=9999,9999,IF($J25="Completado",$N25,MAX($N25,'Historial de Sprints'!$C$7))),"")</f>
      </c>
      <c r="AE25" s="201">
        <f>IF($C25,IF($AD25=9999,"(Sin sprint)",$AD25),"")</f>
      </c>
      <c r="AF25" s="201">
        <f>IF($C25,AND($N25&lt;&gt;9999,$AD25&lt;&gt;$N25),FALSE)</f>
      </c>
      <c r="AG25" s="201">
        <f>IF($AF25,'Historial de Sprints'!$C$5+$N25*'Historial de Sprints'!$C$6-1,"")</f>
      </c>
      <c r="AH25" s="202">
        <f>IF($AF25,"No completada al cierre del Sprint "&amp;$N25&amp;" -&gt; reasignada al Sprint "&amp;$AD25,"")</f>
      </c>
      <c r="AI25" s="201">
        <f>IF($AF25,$N25*100000+ROW(),"")</f>
      </c>
      <c r="AJ25" s="201">
        <f>IF($C25,$AA25*1000000-MEDIAN(-9999,$K25,9999)*100+(300-ROW()),"")</f>
      </c>
      <c r="AK25" s="201">
        <f>IF($C25,IF($J25="Completado",0,IF($K25&lt;0,1,IF($K25&lt;=3,0.9,IF($K25&lt;=7,0.7,IF($K25&lt;=14,0.45,0.2))))),"")</f>
      </c>
      <c r="AL25" s="201">
        <f>IF($C25,IF($J25="Completado",0,MEDIAN(0,MAX(-$V25,$W25/30),1)),"")</f>
      </c>
      <c r="AM25" s="201">
        <f>IF($C25,IF($J25="Completado",0,IF($Z25,1,IF(AND($I25&lt;0.5,$K25&lt;=7),0.7,0.3))),"")</f>
      </c>
      <c r="AN25" s="202">
        <f>IF($C25,IF(OR($V25&lt;-0.2,$W25&gt;0),"ATRASO ","")&amp;IF($Z25,"BLOQUEO ","")&amp;IF($Y25&gt;8,"SOBRECARGA ","")&amp;IF($X25&gt;0,"DESVÍO-PLAN ",""),"")</f>
      </c>
    </row>
    <row r="26">
      <c r="A26" s="201">
        <f>ROW()</f>
      </c>
      <c r="B26" s="201">
        <f>ISTEXT('Proyecto Datos (OKR´s)'!$K26)</f>
      </c>
      <c r="C26" s="201">
        <f>AND(LEN('Proyecto Datos (OKR´s)'!$G26)&gt;0,NOT($B26),OR(ISNUMBER('Proyecto Datos (OKR´s)'!$F26),ISNUMBER('Proyecto Datos (OKR´s)'!$L26)))</f>
      </c>
      <c r="D26" s="202">
        <f>IF($C26,IFERROR(LOOKUP(2,1/((ISTEXT('Proyecto Datos (OKR´s)'!$K$7:$K26))*(LEN('Proyecto Datos (OKR´s)'!$G$7:$G26)&gt;0)),'Proyecto Datos (OKR´s)'!$G$7:$G26),""),"")</f>
      </c>
      <c r="E26" s="201">
        <f>IF($C26,'Proyecto Datos (OKR´s)'!$E26,"")</f>
      </c>
      <c r="F26" s="202">
        <f>IF($C26,'Proyecto Datos (OKR´s)'!$G26,"")</f>
      </c>
      <c r="G26" s="202">
        <f>IF($C26,IF('Proyecto Datos (OKR´s)'!$I26="","(Sin asignar)",'Proyecto Datos (OKR´s)'!$I26),"")</f>
      </c>
      <c r="H26" s="201">
        <f>IF($C26,IF(ISNUMBER('Proyecto Datos (OKR´s)'!$F26),'Proyecto Datos (OKR´s)'!$F26,'Proyecto Datos (OKR´s)'!$L26),"")</f>
      </c>
      <c r="I26" s="201">
        <f>IF($C26,'Proyecto Datos (OKR´s)'!$J26,"")</f>
      </c>
      <c r="J26" s="202">
        <f>IF($C26,IF($I26&gt;=1,"Completado",IF($H26&lt;TODAY(),"Vencido",IF(($H26-TODAY())&lt;='Entregas Próximas'!$M$3,"Próximo a vencer","En curso"))),"")</f>
      </c>
      <c r="K26" s="201">
        <f>IF($C26,$H26-TODAY(),"")</f>
      </c>
      <c r="L26" s="201">
        <f>IF($C26,$AD26*1000000+$H26+ROW()/100000,"")</f>
      </c>
      <c r="M26" s="201">
        <f>IF($C26,IF($AD26=9999,"(Sin sprint)",$AD26),"")</f>
      </c>
      <c r="N26" s="201">
        <f>IF($C26,IF('Proyecto Datos (OKR´s)'!$E26="",9999,'Proyecto Datos (OKR´s)'!$E26),"")</f>
      </c>
      <c r="O26" s="201">
        <f>IF($C26,"T"&amp;TEXT(ROW(),"000"),"")</f>
      </c>
      <c r="P26" s="201">
        <f>ROW()-6</f>
      </c>
      <c r="Q26" s="201">
        <f>IF(COUNTIF($AD$7:$AD$200,$P26)&gt;0,$P26,"")</f>
      </c>
      <c r="R26" s="201">
        <f>IF($C26,IF(ISNUMBER('Proyecto Datos (OKR´s)'!$L26),'Proyecto Datos (OKR´s)'!$L26,$H26),"")</f>
      </c>
      <c r="S26" s="201">
        <f>IF($C26,$R26-'Proyecto Datos (OKR´s)'!$K26+1,"")</f>
      </c>
      <c r="T26" s="201">
        <f>IF($C26,MAX(0,TODAY()-'Proyecto Datos (OKR´s)'!$K26),"")</f>
      </c>
      <c r="U26" s="201">
        <f>IF($C26,MEDIAN(0,(TODAY()-'Proyecto Datos (OKR´s)'!$K26)/MAX(1,$R26-'Proyecto Datos (OKR´s)'!$K26),1),"")</f>
      </c>
      <c r="V26" s="201">
        <f>IF($C26,$I26-$U26,"")</f>
      </c>
      <c r="W26" s="201">
        <f>IF($C26,IF($J26="Completado",0,MAX(0,TODAY()-$H26)),"")</f>
      </c>
      <c r="X26" s="201">
        <f>IF($C26,IF(ISNUMBER($H26),$R26-$H26,0),"")</f>
      </c>
      <c r="Y26" s="201">
        <f>IF($C26,COUNTIFS($G$7:$G$200,$G26,$J$7:$J$200,"&lt;&gt;Completado",$J$7:$J$200,"&lt;&gt;"),"")</f>
      </c>
      <c r="Z26" s="201">
        <f>IF($C26,AND($I26=0,'Proyecto Datos (OKR´s)'!$K26&lt;=TODAY(),$J26&lt;&gt;"Completado"),"")</f>
      </c>
      <c r="AA26" s="201">
        <f>IF($C26,ROUND(100*(0.35*$AK26+0.3*$AL26+0.2*$AM26+0.15*MEDIAN(0,($Y26-4)/8,1)),0),"")</f>
      </c>
      <c r="AB26" s="202">
        <f>IF($C26,IF($J26="Completado","—",IF($AA26&gt;=70,"Crítica",IF($AA26&gt;=45,"Alta",IF($AA26&gt;=25,"Media","Baja")))),"")</f>
      </c>
      <c r="AC26" s="202">
        <f>IF($C26,IF(LEN(TRIM($AN26))=0,"—",TRIM($AN26)),"")</f>
      </c>
      <c r="AD26" s="201">
        <f>IF($C26,IF($N26=9999,9999,IF($J26="Completado",$N26,MAX($N26,'Historial de Sprints'!$C$7))),"")</f>
      </c>
      <c r="AE26" s="201">
        <f>IF($C26,IF($AD26=9999,"(Sin sprint)",$AD26),"")</f>
      </c>
      <c r="AF26" s="201">
        <f>IF($C26,AND($N26&lt;&gt;9999,$AD26&lt;&gt;$N26),FALSE)</f>
      </c>
      <c r="AG26" s="201">
        <f>IF($AF26,'Historial de Sprints'!$C$5+$N26*'Historial de Sprints'!$C$6-1,"")</f>
      </c>
      <c r="AH26" s="202">
        <f>IF($AF26,"No completada al cierre del Sprint "&amp;$N26&amp;" -&gt; reasignada al Sprint "&amp;$AD26,"")</f>
      </c>
      <c r="AI26" s="201">
        <f>IF($AF26,$N26*100000+ROW(),"")</f>
      </c>
      <c r="AJ26" s="201">
        <f>IF($C26,$AA26*1000000-MEDIAN(-9999,$K26,9999)*100+(300-ROW()),"")</f>
      </c>
      <c r="AK26" s="201">
        <f>IF($C26,IF($J26="Completado",0,IF($K26&lt;0,1,IF($K26&lt;=3,0.9,IF($K26&lt;=7,0.7,IF($K26&lt;=14,0.45,0.2))))),"")</f>
      </c>
      <c r="AL26" s="201">
        <f>IF($C26,IF($J26="Completado",0,MEDIAN(0,MAX(-$V26,$W26/30),1)),"")</f>
      </c>
      <c r="AM26" s="201">
        <f>IF($C26,IF($J26="Completado",0,IF($Z26,1,IF(AND($I26&lt;0.5,$K26&lt;=7),0.7,0.3))),"")</f>
      </c>
      <c r="AN26" s="202">
        <f>IF($C26,IF(OR($V26&lt;-0.2,$W26&gt;0),"ATRASO ","")&amp;IF($Z26,"BLOQUEO ","")&amp;IF($Y26&gt;8,"SOBRECARGA ","")&amp;IF($X26&gt;0,"DESVÍO-PLAN ",""),"")</f>
      </c>
    </row>
    <row r="27">
      <c r="A27" s="201">
        <f>ROW()</f>
      </c>
      <c r="B27" s="201">
        <f>ISTEXT('Proyecto Datos (OKR´s)'!$K27)</f>
      </c>
      <c r="C27" s="201">
        <f>AND(LEN('Proyecto Datos (OKR´s)'!$G27)&gt;0,NOT($B27),OR(ISNUMBER('Proyecto Datos (OKR´s)'!$F27),ISNUMBER('Proyecto Datos (OKR´s)'!$L27)))</f>
      </c>
      <c r="D27" s="202">
        <f>IF($C27,IFERROR(LOOKUP(2,1/((ISTEXT('Proyecto Datos (OKR´s)'!$K$7:$K27))*(LEN('Proyecto Datos (OKR´s)'!$G$7:$G27)&gt;0)),'Proyecto Datos (OKR´s)'!$G$7:$G27),""),"")</f>
      </c>
      <c r="E27" s="201">
        <f>IF($C27,'Proyecto Datos (OKR´s)'!$E27,"")</f>
      </c>
      <c r="F27" s="202">
        <f>IF($C27,'Proyecto Datos (OKR´s)'!$G27,"")</f>
      </c>
      <c r="G27" s="202">
        <f>IF($C27,IF('Proyecto Datos (OKR´s)'!$I27="","(Sin asignar)",'Proyecto Datos (OKR´s)'!$I27),"")</f>
      </c>
      <c r="H27" s="201">
        <f>IF($C27,IF(ISNUMBER('Proyecto Datos (OKR´s)'!$F27),'Proyecto Datos (OKR´s)'!$F27,'Proyecto Datos (OKR´s)'!$L27),"")</f>
      </c>
      <c r="I27" s="201">
        <f>IF($C27,'Proyecto Datos (OKR´s)'!$J27,"")</f>
      </c>
      <c r="J27" s="202">
        <f>IF($C27,IF($I27&gt;=1,"Completado",IF($H27&lt;TODAY(),"Vencido",IF(($H27-TODAY())&lt;='Entregas Próximas'!$M$3,"Próximo a vencer","En curso"))),"")</f>
      </c>
      <c r="K27" s="201">
        <f>IF($C27,$H27-TODAY(),"")</f>
      </c>
      <c r="L27" s="201">
        <f>IF($C27,$AD27*1000000+$H27+ROW()/100000,"")</f>
      </c>
      <c r="M27" s="201">
        <f>IF($C27,IF($AD27=9999,"(Sin sprint)",$AD27),"")</f>
      </c>
      <c r="N27" s="201">
        <f>IF($C27,IF('Proyecto Datos (OKR´s)'!$E27="",9999,'Proyecto Datos (OKR´s)'!$E27),"")</f>
      </c>
      <c r="O27" s="201">
        <f>IF($C27,"T"&amp;TEXT(ROW(),"000"),"")</f>
      </c>
      <c r="P27" s="201">
        <f>ROW()-6</f>
      </c>
      <c r="Q27" s="201">
        <f>IF(COUNTIF($AD$7:$AD$200,$P27)&gt;0,$P27,"")</f>
      </c>
      <c r="R27" s="201">
        <f>IF($C27,IF(ISNUMBER('Proyecto Datos (OKR´s)'!$L27),'Proyecto Datos (OKR´s)'!$L27,$H27),"")</f>
      </c>
      <c r="S27" s="201">
        <f>IF($C27,$R27-'Proyecto Datos (OKR´s)'!$K27+1,"")</f>
      </c>
      <c r="T27" s="201">
        <f>IF($C27,MAX(0,TODAY()-'Proyecto Datos (OKR´s)'!$K27),"")</f>
      </c>
      <c r="U27" s="201">
        <f>IF($C27,MEDIAN(0,(TODAY()-'Proyecto Datos (OKR´s)'!$K27)/MAX(1,$R27-'Proyecto Datos (OKR´s)'!$K27),1),"")</f>
      </c>
      <c r="V27" s="201">
        <f>IF($C27,$I27-$U27,"")</f>
      </c>
      <c r="W27" s="201">
        <f>IF($C27,IF($J27="Completado",0,MAX(0,TODAY()-$H27)),"")</f>
      </c>
      <c r="X27" s="201">
        <f>IF($C27,IF(ISNUMBER($H27),$R27-$H27,0),"")</f>
      </c>
      <c r="Y27" s="201">
        <f>IF($C27,COUNTIFS($G$7:$G$200,$G27,$J$7:$J$200,"&lt;&gt;Completado",$J$7:$J$200,"&lt;&gt;"),"")</f>
      </c>
      <c r="Z27" s="201">
        <f>IF($C27,AND($I27=0,'Proyecto Datos (OKR´s)'!$K27&lt;=TODAY(),$J27&lt;&gt;"Completado"),"")</f>
      </c>
      <c r="AA27" s="201">
        <f>IF($C27,ROUND(100*(0.35*$AK27+0.3*$AL27+0.2*$AM27+0.15*MEDIAN(0,($Y27-4)/8,1)),0),"")</f>
      </c>
      <c r="AB27" s="202">
        <f>IF($C27,IF($J27="Completado","—",IF($AA27&gt;=70,"Crítica",IF($AA27&gt;=45,"Alta",IF($AA27&gt;=25,"Media","Baja")))),"")</f>
      </c>
      <c r="AC27" s="202">
        <f>IF($C27,IF(LEN(TRIM($AN27))=0,"—",TRIM($AN27)),"")</f>
      </c>
      <c r="AD27" s="201">
        <f>IF($C27,IF($N27=9999,9999,IF($J27="Completado",$N27,MAX($N27,'Historial de Sprints'!$C$7))),"")</f>
      </c>
      <c r="AE27" s="201">
        <f>IF($C27,IF($AD27=9999,"(Sin sprint)",$AD27),"")</f>
      </c>
      <c r="AF27" s="201">
        <f>IF($C27,AND($N27&lt;&gt;9999,$AD27&lt;&gt;$N27),FALSE)</f>
      </c>
      <c r="AG27" s="201">
        <f>IF($AF27,'Historial de Sprints'!$C$5+$N27*'Historial de Sprints'!$C$6-1,"")</f>
      </c>
      <c r="AH27" s="202">
        <f>IF($AF27,"No completada al cierre del Sprint "&amp;$N27&amp;" -&gt; reasignada al Sprint "&amp;$AD27,"")</f>
      </c>
      <c r="AI27" s="201">
        <f>IF($AF27,$N27*100000+ROW(),"")</f>
      </c>
      <c r="AJ27" s="201">
        <f>IF($C27,$AA27*1000000-MEDIAN(-9999,$K27,9999)*100+(300-ROW()),"")</f>
      </c>
      <c r="AK27" s="201">
        <f>IF($C27,IF($J27="Completado",0,IF($K27&lt;0,1,IF($K27&lt;=3,0.9,IF($K27&lt;=7,0.7,IF($K27&lt;=14,0.45,0.2))))),"")</f>
      </c>
      <c r="AL27" s="201">
        <f>IF($C27,IF($J27="Completado",0,MEDIAN(0,MAX(-$V27,$W27/30),1)),"")</f>
      </c>
      <c r="AM27" s="201">
        <f>IF($C27,IF($J27="Completado",0,IF($Z27,1,IF(AND($I27&lt;0.5,$K27&lt;=7),0.7,0.3))),"")</f>
      </c>
      <c r="AN27" s="202">
        <f>IF($C27,IF(OR($V27&lt;-0.2,$W27&gt;0),"ATRASO ","")&amp;IF($Z27,"BLOQUEO ","")&amp;IF($Y27&gt;8,"SOBRECARGA ","")&amp;IF($X27&gt;0,"DESVÍO-PLAN ",""),"")</f>
      </c>
    </row>
    <row r="28">
      <c r="A28" s="201">
        <f>ROW()</f>
      </c>
      <c r="B28" s="201">
        <f>ISTEXT('Proyecto Datos (OKR´s)'!$K28)</f>
      </c>
      <c r="C28" s="201">
        <f>AND(LEN('Proyecto Datos (OKR´s)'!$G28)&gt;0,NOT($B28),OR(ISNUMBER('Proyecto Datos (OKR´s)'!$F28),ISNUMBER('Proyecto Datos (OKR´s)'!$L28)))</f>
      </c>
      <c r="D28" s="202">
        <f>IF($C28,IFERROR(LOOKUP(2,1/((ISTEXT('Proyecto Datos (OKR´s)'!$K$7:$K28))*(LEN('Proyecto Datos (OKR´s)'!$G$7:$G28)&gt;0)),'Proyecto Datos (OKR´s)'!$G$7:$G28),""),"")</f>
      </c>
      <c r="E28" s="201">
        <f>IF($C28,'Proyecto Datos (OKR´s)'!$E28,"")</f>
      </c>
      <c r="F28" s="202">
        <f>IF($C28,'Proyecto Datos (OKR´s)'!$G28,"")</f>
      </c>
      <c r="G28" s="202">
        <f>IF($C28,IF('Proyecto Datos (OKR´s)'!$I28="","(Sin asignar)",'Proyecto Datos (OKR´s)'!$I28),"")</f>
      </c>
      <c r="H28" s="201">
        <f>IF($C28,IF(ISNUMBER('Proyecto Datos (OKR´s)'!$F28),'Proyecto Datos (OKR´s)'!$F28,'Proyecto Datos (OKR´s)'!$L28),"")</f>
      </c>
      <c r="I28" s="201">
        <f>IF($C28,'Proyecto Datos (OKR´s)'!$J28,"")</f>
      </c>
      <c r="J28" s="202">
        <f>IF($C28,IF($I28&gt;=1,"Completado",IF($H28&lt;TODAY(),"Vencido",IF(($H28-TODAY())&lt;='Entregas Próximas'!$M$3,"Próximo a vencer","En curso"))),"")</f>
      </c>
      <c r="K28" s="201">
        <f>IF($C28,$H28-TODAY(),"")</f>
      </c>
      <c r="L28" s="201">
        <f>IF($C28,$AD28*1000000+$H28+ROW()/100000,"")</f>
      </c>
      <c r="M28" s="201">
        <f>IF($C28,IF($AD28=9999,"(Sin sprint)",$AD28),"")</f>
      </c>
      <c r="N28" s="201">
        <f>IF($C28,IF('Proyecto Datos (OKR´s)'!$E28="",9999,'Proyecto Datos (OKR´s)'!$E28),"")</f>
      </c>
      <c r="O28" s="201">
        <f>IF($C28,"T"&amp;TEXT(ROW(),"000"),"")</f>
      </c>
      <c r="P28" s="201">
        <f>ROW()-6</f>
      </c>
      <c r="Q28" s="201">
        <f>IF(COUNTIF($AD$7:$AD$200,$P28)&gt;0,$P28,"")</f>
      </c>
      <c r="R28" s="201">
        <f>IF($C28,IF(ISNUMBER('Proyecto Datos (OKR´s)'!$L28),'Proyecto Datos (OKR´s)'!$L28,$H28),"")</f>
      </c>
      <c r="S28" s="201">
        <f>IF($C28,$R28-'Proyecto Datos (OKR´s)'!$K28+1,"")</f>
      </c>
      <c r="T28" s="201">
        <f>IF($C28,MAX(0,TODAY()-'Proyecto Datos (OKR´s)'!$K28),"")</f>
      </c>
      <c r="U28" s="201">
        <f>IF($C28,MEDIAN(0,(TODAY()-'Proyecto Datos (OKR´s)'!$K28)/MAX(1,$R28-'Proyecto Datos (OKR´s)'!$K28),1),"")</f>
      </c>
      <c r="V28" s="201">
        <f>IF($C28,$I28-$U28,"")</f>
      </c>
      <c r="W28" s="201">
        <f>IF($C28,IF($J28="Completado",0,MAX(0,TODAY()-$H28)),"")</f>
      </c>
      <c r="X28" s="201">
        <f>IF($C28,IF(ISNUMBER($H28),$R28-$H28,0),"")</f>
      </c>
      <c r="Y28" s="201">
        <f>IF($C28,COUNTIFS($G$7:$G$200,$G28,$J$7:$J$200,"&lt;&gt;Completado",$J$7:$J$200,"&lt;&gt;"),"")</f>
      </c>
      <c r="Z28" s="201">
        <f>IF($C28,AND($I28=0,'Proyecto Datos (OKR´s)'!$K28&lt;=TODAY(),$J28&lt;&gt;"Completado"),"")</f>
      </c>
      <c r="AA28" s="201">
        <f>IF($C28,ROUND(100*(0.35*$AK28+0.3*$AL28+0.2*$AM28+0.15*MEDIAN(0,($Y28-4)/8,1)),0),"")</f>
      </c>
      <c r="AB28" s="202">
        <f>IF($C28,IF($J28="Completado","—",IF($AA28&gt;=70,"Crítica",IF($AA28&gt;=45,"Alta",IF($AA28&gt;=25,"Media","Baja")))),"")</f>
      </c>
      <c r="AC28" s="202">
        <f>IF($C28,IF(LEN(TRIM($AN28))=0,"—",TRIM($AN28)),"")</f>
      </c>
      <c r="AD28" s="201">
        <f>IF($C28,IF($N28=9999,9999,IF($J28="Completado",$N28,MAX($N28,'Historial de Sprints'!$C$7))),"")</f>
      </c>
      <c r="AE28" s="201">
        <f>IF($C28,IF($AD28=9999,"(Sin sprint)",$AD28),"")</f>
      </c>
      <c r="AF28" s="201">
        <f>IF($C28,AND($N28&lt;&gt;9999,$AD28&lt;&gt;$N28),FALSE)</f>
      </c>
      <c r="AG28" s="201">
        <f>IF($AF28,'Historial de Sprints'!$C$5+$N28*'Historial de Sprints'!$C$6-1,"")</f>
      </c>
      <c r="AH28" s="202">
        <f>IF($AF28,"No completada al cierre del Sprint "&amp;$N28&amp;" -&gt; reasignada al Sprint "&amp;$AD28,"")</f>
      </c>
      <c r="AI28" s="201">
        <f>IF($AF28,$N28*100000+ROW(),"")</f>
      </c>
      <c r="AJ28" s="201">
        <f>IF($C28,$AA28*1000000-MEDIAN(-9999,$K28,9999)*100+(300-ROW()),"")</f>
      </c>
      <c r="AK28" s="201">
        <f>IF($C28,IF($J28="Completado",0,IF($K28&lt;0,1,IF($K28&lt;=3,0.9,IF($K28&lt;=7,0.7,IF($K28&lt;=14,0.45,0.2))))),"")</f>
      </c>
      <c r="AL28" s="201">
        <f>IF($C28,IF($J28="Completado",0,MEDIAN(0,MAX(-$V28,$W28/30),1)),"")</f>
      </c>
      <c r="AM28" s="201">
        <f>IF($C28,IF($J28="Completado",0,IF($Z28,1,IF(AND($I28&lt;0.5,$K28&lt;=7),0.7,0.3))),"")</f>
      </c>
      <c r="AN28" s="202">
        <f>IF($C28,IF(OR($V28&lt;-0.2,$W28&gt;0),"ATRASO ","")&amp;IF($Z28,"BLOQUEO ","")&amp;IF($Y28&gt;8,"SOBRECARGA ","")&amp;IF($X28&gt;0,"DESVÍO-PLAN ",""),"")</f>
      </c>
    </row>
    <row r="29">
      <c r="A29" s="201">
        <f>ROW()</f>
      </c>
      <c r="B29" s="201">
        <f>ISTEXT('Proyecto Datos (OKR´s)'!$K29)</f>
      </c>
      <c r="C29" s="201">
        <f>AND(LEN('Proyecto Datos (OKR´s)'!$G29)&gt;0,NOT($B29),OR(ISNUMBER('Proyecto Datos (OKR´s)'!$F29),ISNUMBER('Proyecto Datos (OKR´s)'!$L29)))</f>
      </c>
      <c r="D29" s="202">
        <f>IF($C29,IFERROR(LOOKUP(2,1/((ISTEXT('Proyecto Datos (OKR´s)'!$K$7:$K29))*(LEN('Proyecto Datos (OKR´s)'!$G$7:$G29)&gt;0)),'Proyecto Datos (OKR´s)'!$G$7:$G29),""),"")</f>
      </c>
      <c r="E29" s="201">
        <f>IF($C29,'Proyecto Datos (OKR´s)'!$E29,"")</f>
      </c>
      <c r="F29" s="202">
        <f>IF($C29,'Proyecto Datos (OKR´s)'!$G29,"")</f>
      </c>
      <c r="G29" s="202">
        <f>IF($C29,IF('Proyecto Datos (OKR´s)'!$I29="","(Sin asignar)",'Proyecto Datos (OKR´s)'!$I29),"")</f>
      </c>
      <c r="H29" s="201">
        <f>IF($C29,IF(ISNUMBER('Proyecto Datos (OKR´s)'!$F29),'Proyecto Datos (OKR´s)'!$F29,'Proyecto Datos (OKR´s)'!$L29),"")</f>
      </c>
      <c r="I29" s="201">
        <f>IF($C29,'Proyecto Datos (OKR´s)'!$J29,"")</f>
      </c>
      <c r="J29" s="202">
        <f>IF($C29,IF($I29&gt;=1,"Completado",IF($H29&lt;TODAY(),"Vencido",IF(($H29-TODAY())&lt;='Entregas Próximas'!$M$3,"Próximo a vencer","En curso"))),"")</f>
      </c>
      <c r="K29" s="201">
        <f>IF($C29,$H29-TODAY(),"")</f>
      </c>
      <c r="L29" s="201">
        <f>IF($C29,$AD29*1000000+$H29+ROW()/100000,"")</f>
      </c>
      <c r="M29" s="201">
        <f>IF($C29,IF($AD29=9999,"(Sin sprint)",$AD29),"")</f>
      </c>
      <c r="N29" s="201">
        <f>IF($C29,IF('Proyecto Datos (OKR´s)'!$E29="",9999,'Proyecto Datos (OKR´s)'!$E29),"")</f>
      </c>
      <c r="O29" s="201">
        <f>IF($C29,"T"&amp;TEXT(ROW(),"000"),"")</f>
      </c>
      <c r="P29" s="201">
        <f>ROW()-6</f>
      </c>
      <c r="Q29" s="201">
        <f>IF(COUNTIF($AD$7:$AD$200,$P29)&gt;0,$P29,"")</f>
      </c>
      <c r="R29" s="201">
        <f>IF($C29,IF(ISNUMBER('Proyecto Datos (OKR´s)'!$L29),'Proyecto Datos (OKR´s)'!$L29,$H29),"")</f>
      </c>
      <c r="S29" s="201">
        <f>IF($C29,$R29-'Proyecto Datos (OKR´s)'!$K29+1,"")</f>
      </c>
      <c r="T29" s="201">
        <f>IF($C29,MAX(0,TODAY()-'Proyecto Datos (OKR´s)'!$K29),"")</f>
      </c>
      <c r="U29" s="201">
        <f>IF($C29,MEDIAN(0,(TODAY()-'Proyecto Datos (OKR´s)'!$K29)/MAX(1,$R29-'Proyecto Datos (OKR´s)'!$K29),1),"")</f>
      </c>
      <c r="V29" s="201">
        <f>IF($C29,$I29-$U29,"")</f>
      </c>
      <c r="W29" s="201">
        <f>IF($C29,IF($J29="Completado",0,MAX(0,TODAY()-$H29)),"")</f>
      </c>
      <c r="X29" s="201">
        <f>IF($C29,IF(ISNUMBER($H29),$R29-$H29,0),"")</f>
      </c>
      <c r="Y29" s="201">
        <f>IF($C29,COUNTIFS($G$7:$G$200,$G29,$J$7:$J$200,"&lt;&gt;Completado",$J$7:$J$200,"&lt;&gt;"),"")</f>
      </c>
      <c r="Z29" s="201">
        <f>IF($C29,AND($I29=0,'Proyecto Datos (OKR´s)'!$K29&lt;=TODAY(),$J29&lt;&gt;"Completado"),"")</f>
      </c>
      <c r="AA29" s="201">
        <f>IF($C29,ROUND(100*(0.35*$AK29+0.3*$AL29+0.2*$AM29+0.15*MEDIAN(0,($Y29-4)/8,1)),0),"")</f>
      </c>
      <c r="AB29" s="202">
        <f>IF($C29,IF($J29="Completado","—",IF($AA29&gt;=70,"Crítica",IF($AA29&gt;=45,"Alta",IF($AA29&gt;=25,"Media","Baja")))),"")</f>
      </c>
      <c r="AC29" s="202">
        <f>IF($C29,IF(LEN(TRIM($AN29))=0,"—",TRIM($AN29)),"")</f>
      </c>
      <c r="AD29" s="201">
        <f>IF($C29,IF($N29=9999,9999,IF($J29="Completado",$N29,MAX($N29,'Historial de Sprints'!$C$7))),"")</f>
      </c>
      <c r="AE29" s="201">
        <f>IF($C29,IF($AD29=9999,"(Sin sprint)",$AD29),"")</f>
      </c>
      <c r="AF29" s="201">
        <f>IF($C29,AND($N29&lt;&gt;9999,$AD29&lt;&gt;$N29),FALSE)</f>
      </c>
      <c r="AG29" s="201">
        <f>IF($AF29,'Historial de Sprints'!$C$5+$N29*'Historial de Sprints'!$C$6-1,"")</f>
      </c>
      <c r="AH29" s="202">
        <f>IF($AF29,"No completada al cierre del Sprint "&amp;$N29&amp;" -&gt; reasignada al Sprint "&amp;$AD29,"")</f>
      </c>
      <c r="AI29" s="201">
        <f>IF($AF29,$N29*100000+ROW(),"")</f>
      </c>
      <c r="AJ29" s="201">
        <f>IF($C29,$AA29*1000000-MEDIAN(-9999,$K29,9999)*100+(300-ROW()),"")</f>
      </c>
      <c r="AK29" s="201">
        <f>IF($C29,IF($J29="Completado",0,IF($K29&lt;0,1,IF($K29&lt;=3,0.9,IF($K29&lt;=7,0.7,IF($K29&lt;=14,0.45,0.2))))),"")</f>
      </c>
      <c r="AL29" s="201">
        <f>IF($C29,IF($J29="Completado",0,MEDIAN(0,MAX(-$V29,$W29/30),1)),"")</f>
      </c>
      <c r="AM29" s="201">
        <f>IF($C29,IF($J29="Completado",0,IF($Z29,1,IF(AND($I29&lt;0.5,$K29&lt;=7),0.7,0.3))),"")</f>
      </c>
      <c r="AN29" s="202">
        <f>IF($C29,IF(OR($V29&lt;-0.2,$W29&gt;0),"ATRASO ","")&amp;IF($Z29,"BLOQUEO ","")&amp;IF($Y29&gt;8,"SOBRECARGA ","")&amp;IF($X29&gt;0,"DESVÍO-PLAN ",""),"")</f>
      </c>
    </row>
    <row r="30">
      <c r="A30" s="201">
        <f>ROW()</f>
      </c>
      <c r="B30" s="201">
        <f>ISTEXT('Proyecto Datos (OKR´s)'!$K30)</f>
      </c>
      <c r="C30" s="201">
        <f>AND(LEN('Proyecto Datos (OKR´s)'!$G30)&gt;0,NOT($B30),OR(ISNUMBER('Proyecto Datos (OKR´s)'!$F30),ISNUMBER('Proyecto Datos (OKR´s)'!$L30)))</f>
      </c>
      <c r="D30" s="202">
        <f>IF($C30,IFERROR(LOOKUP(2,1/((ISTEXT('Proyecto Datos (OKR´s)'!$K$7:$K30))*(LEN('Proyecto Datos (OKR´s)'!$G$7:$G30)&gt;0)),'Proyecto Datos (OKR´s)'!$G$7:$G30),""),"")</f>
      </c>
      <c r="E30" s="201">
        <f>IF($C30,'Proyecto Datos (OKR´s)'!$E30,"")</f>
      </c>
      <c r="F30" s="202">
        <f>IF($C30,'Proyecto Datos (OKR´s)'!$G30,"")</f>
      </c>
      <c r="G30" s="202">
        <f>IF($C30,IF('Proyecto Datos (OKR´s)'!$I30="","(Sin asignar)",'Proyecto Datos (OKR´s)'!$I30),"")</f>
      </c>
      <c r="H30" s="201">
        <f>IF($C30,IF(ISNUMBER('Proyecto Datos (OKR´s)'!$F30),'Proyecto Datos (OKR´s)'!$F30,'Proyecto Datos (OKR´s)'!$L30),"")</f>
      </c>
      <c r="I30" s="201">
        <f>IF($C30,'Proyecto Datos (OKR´s)'!$J30,"")</f>
      </c>
      <c r="J30" s="202">
        <f>IF($C30,IF($I30&gt;=1,"Completado",IF($H30&lt;TODAY(),"Vencido",IF(($H30-TODAY())&lt;='Entregas Próximas'!$M$3,"Próximo a vencer","En curso"))),"")</f>
      </c>
      <c r="K30" s="201">
        <f>IF($C30,$H30-TODAY(),"")</f>
      </c>
      <c r="L30" s="201">
        <f>IF($C30,$AD30*1000000+$H30+ROW()/100000,"")</f>
      </c>
      <c r="M30" s="201">
        <f>IF($C30,IF($AD30=9999,"(Sin sprint)",$AD30),"")</f>
      </c>
      <c r="N30" s="201">
        <f>IF($C30,IF('Proyecto Datos (OKR´s)'!$E30="",9999,'Proyecto Datos (OKR´s)'!$E30),"")</f>
      </c>
      <c r="O30" s="201">
        <f>IF($C30,"T"&amp;TEXT(ROW(),"000"),"")</f>
      </c>
      <c r="P30" s="201">
        <f>ROW()-6</f>
      </c>
      <c r="Q30" s="201">
        <f>IF(COUNTIF($AD$7:$AD$200,$P30)&gt;0,$P30,"")</f>
      </c>
      <c r="R30" s="201">
        <f>IF($C30,IF(ISNUMBER('Proyecto Datos (OKR´s)'!$L30),'Proyecto Datos (OKR´s)'!$L30,$H30),"")</f>
      </c>
      <c r="S30" s="201">
        <f>IF($C30,$R30-'Proyecto Datos (OKR´s)'!$K30+1,"")</f>
      </c>
      <c r="T30" s="201">
        <f>IF($C30,MAX(0,TODAY()-'Proyecto Datos (OKR´s)'!$K30),"")</f>
      </c>
      <c r="U30" s="201">
        <f>IF($C30,MEDIAN(0,(TODAY()-'Proyecto Datos (OKR´s)'!$K30)/MAX(1,$R30-'Proyecto Datos (OKR´s)'!$K30),1),"")</f>
      </c>
      <c r="V30" s="201">
        <f>IF($C30,$I30-$U30,"")</f>
      </c>
      <c r="W30" s="201">
        <f>IF($C30,IF($J30="Completado",0,MAX(0,TODAY()-$H30)),"")</f>
      </c>
      <c r="X30" s="201">
        <f>IF($C30,IF(ISNUMBER($H30),$R30-$H30,0),"")</f>
      </c>
      <c r="Y30" s="201">
        <f>IF($C30,COUNTIFS($G$7:$G$200,$G30,$J$7:$J$200,"&lt;&gt;Completado",$J$7:$J$200,"&lt;&gt;"),"")</f>
      </c>
      <c r="Z30" s="201">
        <f>IF($C30,AND($I30=0,'Proyecto Datos (OKR´s)'!$K30&lt;=TODAY(),$J30&lt;&gt;"Completado"),"")</f>
      </c>
      <c r="AA30" s="201">
        <f>IF($C30,ROUND(100*(0.35*$AK30+0.3*$AL30+0.2*$AM30+0.15*MEDIAN(0,($Y30-4)/8,1)),0),"")</f>
      </c>
      <c r="AB30" s="202">
        <f>IF($C30,IF($J30="Completado","—",IF($AA30&gt;=70,"Crítica",IF($AA30&gt;=45,"Alta",IF($AA30&gt;=25,"Media","Baja")))),"")</f>
      </c>
      <c r="AC30" s="202">
        <f>IF($C30,IF(LEN(TRIM($AN30))=0,"—",TRIM($AN30)),"")</f>
      </c>
      <c r="AD30" s="201">
        <f>IF($C30,IF($N30=9999,9999,IF($J30="Completado",$N30,MAX($N30,'Historial de Sprints'!$C$7))),"")</f>
      </c>
      <c r="AE30" s="201">
        <f>IF($C30,IF($AD30=9999,"(Sin sprint)",$AD30),"")</f>
      </c>
      <c r="AF30" s="201">
        <f>IF($C30,AND($N30&lt;&gt;9999,$AD30&lt;&gt;$N30),FALSE)</f>
      </c>
      <c r="AG30" s="201">
        <f>IF($AF30,'Historial de Sprints'!$C$5+$N30*'Historial de Sprints'!$C$6-1,"")</f>
      </c>
      <c r="AH30" s="202">
        <f>IF($AF30,"No completada al cierre del Sprint "&amp;$N30&amp;" -&gt; reasignada al Sprint "&amp;$AD30,"")</f>
      </c>
      <c r="AI30" s="201">
        <f>IF($AF30,$N30*100000+ROW(),"")</f>
      </c>
      <c r="AJ30" s="201">
        <f>IF($C30,$AA30*1000000-MEDIAN(-9999,$K30,9999)*100+(300-ROW()),"")</f>
      </c>
      <c r="AK30" s="201">
        <f>IF($C30,IF($J30="Completado",0,IF($K30&lt;0,1,IF($K30&lt;=3,0.9,IF($K30&lt;=7,0.7,IF($K30&lt;=14,0.45,0.2))))),"")</f>
      </c>
      <c r="AL30" s="201">
        <f>IF($C30,IF($J30="Completado",0,MEDIAN(0,MAX(-$V30,$W30/30),1)),"")</f>
      </c>
      <c r="AM30" s="201">
        <f>IF($C30,IF($J30="Completado",0,IF($Z30,1,IF(AND($I30&lt;0.5,$K30&lt;=7),0.7,0.3))),"")</f>
      </c>
      <c r="AN30" s="202">
        <f>IF($C30,IF(OR($V30&lt;-0.2,$W30&gt;0),"ATRASO ","")&amp;IF($Z30,"BLOQUEO ","")&amp;IF($Y30&gt;8,"SOBRECARGA ","")&amp;IF($X30&gt;0,"DESVÍO-PLAN ",""),"")</f>
      </c>
    </row>
    <row r="31">
      <c r="A31" s="201">
        <f>ROW()</f>
      </c>
      <c r="B31" s="201">
        <f>ISTEXT('Proyecto Datos (OKR´s)'!$K31)</f>
      </c>
      <c r="C31" s="201">
        <f>AND(LEN('Proyecto Datos (OKR´s)'!$G31)&gt;0,NOT($B31),OR(ISNUMBER('Proyecto Datos (OKR´s)'!$F31),ISNUMBER('Proyecto Datos (OKR´s)'!$L31)))</f>
      </c>
      <c r="D31" s="202">
        <f>IF($C31,IFERROR(LOOKUP(2,1/((ISTEXT('Proyecto Datos (OKR´s)'!$K$7:$K31))*(LEN('Proyecto Datos (OKR´s)'!$G$7:$G31)&gt;0)),'Proyecto Datos (OKR´s)'!$G$7:$G31),""),"")</f>
      </c>
      <c r="E31" s="201">
        <f>IF($C31,'Proyecto Datos (OKR´s)'!$E31,"")</f>
      </c>
      <c r="F31" s="202">
        <f>IF($C31,'Proyecto Datos (OKR´s)'!$G31,"")</f>
      </c>
      <c r="G31" s="202">
        <f>IF($C31,IF('Proyecto Datos (OKR´s)'!$I31="","(Sin asignar)",'Proyecto Datos (OKR´s)'!$I31),"")</f>
      </c>
      <c r="H31" s="201">
        <f>IF($C31,IF(ISNUMBER('Proyecto Datos (OKR´s)'!$F31),'Proyecto Datos (OKR´s)'!$F31,'Proyecto Datos (OKR´s)'!$L31),"")</f>
      </c>
      <c r="I31" s="201">
        <f>IF($C31,'Proyecto Datos (OKR´s)'!$J31,"")</f>
      </c>
      <c r="J31" s="202">
        <f>IF($C31,IF($I31&gt;=1,"Completado",IF($H31&lt;TODAY(),"Vencido",IF(($H31-TODAY())&lt;='Entregas Próximas'!$M$3,"Próximo a vencer","En curso"))),"")</f>
      </c>
      <c r="K31" s="201">
        <f>IF($C31,$H31-TODAY(),"")</f>
      </c>
      <c r="L31" s="201">
        <f>IF($C31,$AD31*1000000+$H31+ROW()/100000,"")</f>
      </c>
      <c r="M31" s="201">
        <f>IF($C31,IF($AD31=9999,"(Sin sprint)",$AD31),"")</f>
      </c>
      <c r="N31" s="201">
        <f>IF($C31,IF('Proyecto Datos (OKR´s)'!$E31="",9999,'Proyecto Datos (OKR´s)'!$E31),"")</f>
      </c>
      <c r="O31" s="201">
        <f>IF($C31,"T"&amp;TEXT(ROW(),"000"),"")</f>
      </c>
      <c r="P31" s="201">
        <f>ROW()-6</f>
      </c>
      <c r="Q31" s="201">
        <f>IF(COUNTIF($AD$7:$AD$200,$P31)&gt;0,$P31,"")</f>
      </c>
      <c r="R31" s="201">
        <f>IF($C31,IF(ISNUMBER('Proyecto Datos (OKR´s)'!$L31),'Proyecto Datos (OKR´s)'!$L31,$H31),"")</f>
      </c>
      <c r="S31" s="201">
        <f>IF($C31,$R31-'Proyecto Datos (OKR´s)'!$K31+1,"")</f>
      </c>
      <c r="T31" s="201">
        <f>IF($C31,MAX(0,TODAY()-'Proyecto Datos (OKR´s)'!$K31),"")</f>
      </c>
      <c r="U31" s="201">
        <f>IF($C31,MEDIAN(0,(TODAY()-'Proyecto Datos (OKR´s)'!$K31)/MAX(1,$R31-'Proyecto Datos (OKR´s)'!$K31),1),"")</f>
      </c>
      <c r="V31" s="201">
        <f>IF($C31,$I31-$U31,"")</f>
      </c>
      <c r="W31" s="201">
        <f>IF($C31,IF($J31="Completado",0,MAX(0,TODAY()-$H31)),"")</f>
      </c>
      <c r="X31" s="201">
        <f>IF($C31,IF(ISNUMBER($H31),$R31-$H31,0),"")</f>
      </c>
      <c r="Y31" s="201">
        <f>IF($C31,COUNTIFS($G$7:$G$200,$G31,$J$7:$J$200,"&lt;&gt;Completado",$J$7:$J$200,"&lt;&gt;"),"")</f>
      </c>
      <c r="Z31" s="201">
        <f>IF($C31,AND($I31=0,'Proyecto Datos (OKR´s)'!$K31&lt;=TODAY(),$J31&lt;&gt;"Completado"),"")</f>
      </c>
      <c r="AA31" s="201">
        <f>IF($C31,ROUND(100*(0.35*$AK31+0.3*$AL31+0.2*$AM31+0.15*MEDIAN(0,($Y31-4)/8,1)),0),"")</f>
      </c>
      <c r="AB31" s="202">
        <f>IF($C31,IF($J31="Completado","—",IF($AA31&gt;=70,"Crítica",IF($AA31&gt;=45,"Alta",IF($AA31&gt;=25,"Media","Baja")))),"")</f>
      </c>
      <c r="AC31" s="202">
        <f>IF($C31,IF(LEN(TRIM($AN31))=0,"—",TRIM($AN31)),"")</f>
      </c>
      <c r="AD31" s="201">
        <f>IF($C31,IF($N31=9999,9999,IF($J31="Completado",$N31,MAX($N31,'Historial de Sprints'!$C$7))),"")</f>
      </c>
      <c r="AE31" s="201">
        <f>IF($C31,IF($AD31=9999,"(Sin sprint)",$AD31),"")</f>
      </c>
      <c r="AF31" s="201">
        <f>IF($C31,AND($N31&lt;&gt;9999,$AD31&lt;&gt;$N31),FALSE)</f>
      </c>
      <c r="AG31" s="201">
        <f>IF($AF31,'Historial de Sprints'!$C$5+$N31*'Historial de Sprints'!$C$6-1,"")</f>
      </c>
      <c r="AH31" s="202">
        <f>IF($AF31,"No completada al cierre del Sprint "&amp;$N31&amp;" -&gt; reasignada al Sprint "&amp;$AD31,"")</f>
      </c>
      <c r="AI31" s="201">
        <f>IF($AF31,$N31*100000+ROW(),"")</f>
      </c>
      <c r="AJ31" s="201">
        <f>IF($C31,$AA31*1000000-MEDIAN(-9999,$K31,9999)*100+(300-ROW()),"")</f>
      </c>
      <c r="AK31" s="201">
        <f>IF($C31,IF($J31="Completado",0,IF($K31&lt;0,1,IF($K31&lt;=3,0.9,IF($K31&lt;=7,0.7,IF($K31&lt;=14,0.45,0.2))))),"")</f>
      </c>
      <c r="AL31" s="201">
        <f>IF($C31,IF($J31="Completado",0,MEDIAN(0,MAX(-$V31,$W31/30),1)),"")</f>
      </c>
      <c r="AM31" s="201">
        <f>IF($C31,IF($J31="Completado",0,IF($Z31,1,IF(AND($I31&lt;0.5,$K31&lt;=7),0.7,0.3))),"")</f>
      </c>
      <c r="AN31" s="202">
        <f>IF($C31,IF(OR($V31&lt;-0.2,$W31&gt;0),"ATRASO ","")&amp;IF($Z31,"BLOQUEO ","")&amp;IF($Y31&gt;8,"SOBRECARGA ","")&amp;IF($X31&gt;0,"DESVÍO-PLAN ",""),"")</f>
      </c>
    </row>
    <row r="32">
      <c r="A32" s="201">
        <f>ROW()</f>
      </c>
      <c r="B32" s="201">
        <f>ISTEXT('Proyecto Datos (OKR´s)'!$K32)</f>
      </c>
      <c r="C32" s="201">
        <f>AND(LEN('Proyecto Datos (OKR´s)'!$G32)&gt;0,NOT($B32),OR(ISNUMBER('Proyecto Datos (OKR´s)'!$F32),ISNUMBER('Proyecto Datos (OKR´s)'!$L32)))</f>
      </c>
      <c r="D32" s="202">
        <f>IF($C32,IFERROR(LOOKUP(2,1/((ISTEXT('Proyecto Datos (OKR´s)'!$K$7:$K32))*(LEN('Proyecto Datos (OKR´s)'!$G$7:$G32)&gt;0)),'Proyecto Datos (OKR´s)'!$G$7:$G32),""),"")</f>
      </c>
      <c r="E32" s="201">
        <f>IF($C32,'Proyecto Datos (OKR´s)'!$E32,"")</f>
      </c>
      <c r="F32" s="202">
        <f>IF($C32,'Proyecto Datos (OKR´s)'!$G32,"")</f>
      </c>
      <c r="G32" s="202">
        <f>IF($C32,IF('Proyecto Datos (OKR´s)'!$I32="","(Sin asignar)",'Proyecto Datos (OKR´s)'!$I32),"")</f>
      </c>
      <c r="H32" s="201">
        <f>IF($C32,IF(ISNUMBER('Proyecto Datos (OKR´s)'!$F32),'Proyecto Datos (OKR´s)'!$F32,'Proyecto Datos (OKR´s)'!$L32),"")</f>
      </c>
      <c r="I32" s="201">
        <f>IF($C32,'Proyecto Datos (OKR´s)'!$J32,"")</f>
      </c>
      <c r="J32" s="202">
        <f>IF($C32,IF($I32&gt;=1,"Completado",IF($H32&lt;TODAY(),"Vencido",IF(($H32-TODAY())&lt;='Entregas Próximas'!$M$3,"Próximo a vencer","En curso"))),"")</f>
      </c>
      <c r="K32" s="201">
        <f>IF($C32,$H32-TODAY(),"")</f>
      </c>
      <c r="L32" s="201">
        <f>IF($C32,$AD32*1000000+$H32+ROW()/100000,"")</f>
      </c>
      <c r="M32" s="201">
        <f>IF($C32,IF($AD32=9999,"(Sin sprint)",$AD32),"")</f>
      </c>
      <c r="N32" s="201">
        <f>IF($C32,IF('Proyecto Datos (OKR´s)'!$E32="",9999,'Proyecto Datos (OKR´s)'!$E32),"")</f>
      </c>
      <c r="O32" s="201">
        <f>IF($C32,"T"&amp;TEXT(ROW(),"000"),"")</f>
      </c>
      <c r="P32" s="201">
        <f>ROW()-6</f>
      </c>
      <c r="Q32" s="201">
        <f>IF(COUNTIF($AD$7:$AD$200,$P32)&gt;0,$P32,"")</f>
      </c>
      <c r="R32" s="201">
        <f>IF($C32,IF(ISNUMBER('Proyecto Datos (OKR´s)'!$L32),'Proyecto Datos (OKR´s)'!$L32,$H32),"")</f>
      </c>
      <c r="S32" s="201">
        <f>IF($C32,$R32-'Proyecto Datos (OKR´s)'!$K32+1,"")</f>
      </c>
      <c r="T32" s="201">
        <f>IF($C32,MAX(0,TODAY()-'Proyecto Datos (OKR´s)'!$K32),"")</f>
      </c>
      <c r="U32" s="201">
        <f>IF($C32,MEDIAN(0,(TODAY()-'Proyecto Datos (OKR´s)'!$K32)/MAX(1,$R32-'Proyecto Datos (OKR´s)'!$K32),1),"")</f>
      </c>
      <c r="V32" s="201">
        <f>IF($C32,$I32-$U32,"")</f>
      </c>
      <c r="W32" s="201">
        <f>IF($C32,IF($J32="Completado",0,MAX(0,TODAY()-$H32)),"")</f>
      </c>
      <c r="X32" s="201">
        <f>IF($C32,IF(ISNUMBER($H32),$R32-$H32,0),"")</f>
      </c>
      <c r="Y32" s="201">
        <f>IF($C32,COUNTIFS($G$7:$G$200,$G32,$J$7:$J$200,"&lt;&gt;Completado",$J$7:$J$200,"&lt;&gt;"),"")</f>
      </c>
      <c r="Z32" s="201">
        <f>IF($C32,AND($I32=0,'Proyecto Datos (OKR´s)'!$K32&lt;=TODAY(),$J32&lt;&gt;"Completado"),"")</f>
      </c>
      <c r="AA32" s="201">
        <f>IF($C32,ROUND(100*(0.35*$AK32+0.3*$AL32+0.2*$AM32+0.15*MEDIAN(0,($Y32-4)/8,1)),0),"")</f>
      </c>
      <c r="AB32" s="202">
        <f>IF($C32,IF($J32="Completado","—",IF($AA32&gt;=70,"Crítica",IF($AA32&gt;=45,"Alta",IF($AA32&gt;=25,"Media","Baja")))),"")</f>
      </c>
      <c r="AC32" s="202">
        <f>IF($C32,IF(LEN(TRIM($AN32))=0,"—",TRIM($AN32)),"")</f>
      </c>
      <c r="AD32" s="201">
        <f>IF($C32,IF($N32=9999,9999,IF($J32="Completado",$N32,MAX($N32,'Historial de Sprints'!$C$7))),"")</f>
      </c>
      <c r="AE32" s="201">
        <f>IF($C32,IF($AD32=9999,"(Sin sprint)",$AD32),"")</f>
      </c>
      <c r="AF32" s="201">
        <f>IF($C32,AND($N32&lt;&gt;9999,$AD32&lt;&gt;$N32),FALSE)</f>
      </c>
      <c r="AG32" s="201">
        <f>IF($AF32,'Historial de Sprints'!$C$5+$N32*'Historial de Sprints'!$C$6-1,"")</f>
      </c>
      <c r="AH32" s="202">
        <f>IF($AF32,"No completada al cierre del Sprint "&amp;$N32&amp;" -&gt; reasignada al Sprint "&amp;$AD32,"")</f>
      </c>
      <c r="AI32" s="201">
        <f>IF($AF32,$N32*100000+ROW(),"")</f>
      </c>
      <c r="AJ32" s="201">
        <f>IF($C32,$AA32*1000000-MEDIAN(-9999,$K32,9999)*100+(300-ROW()),"")</f>
      </c>
      <c r="AK32" s="201">
        <f>IF($C32,IF($J32="Completado",0,IF($K32&lt;0,1,IF($K32&lt;=3,0.9,IF($K32&lt;=7,0.7,IF($K32&lt;=14,0.45,0.2))))),"")</f>
      </c>
      <c r="AL32" s="201">
        <f>IF($C32,IF($J32="Completado",0,MEDIAN(0,MAX(-$V32,$W32/30),1)),"")</f>
      </c>
      <c r="AM32" s="201">
        <f>IF($C32,IF($J32="Completado",0,IF($Z32,1,IF(AND($I32&lt;0.5,$K32&lt;=7),0.7,0.3))),"")</f>
      </c>
      <c r="AN32" s="202">
        <f>IF($C32,IF(OR($V32&lt;-0.2,$W32&gt;0),"ATRASO ","")&amp;IF($Z32,"BLOQUEO ","")&amp;IF($Y32&gt;8,"SOBRECARGA ","")&amp;IF($X32&gt;0,"DESVÍO-PLAN ",""),"")</f>
      </c>
    </row>
    <row r="33">
      <c r="A33" s="201">
        <f>ROW()</f>
      </c>
      <c r="B33" s="201">
        <f>ISTEXT('Proyecto Datos (OKR´s)'!$K33)</f>
      </c>
      <c r="C33" s="201">
        <f>AND(LEN('Proyecto Datos (OKR´s)'!$G33)&gt;0,NOT($B33),OR(ISNUMBER('Proyecto Datos (OKR´s)'!$F33),ISNUMBER('Proyecto Datos (OKR´s)'!$L33)))</f>
      </c>
      <c r="D33" s="202">
        <f>IF($C33,IFERROR(LOOKUP(2,1/((ISTEXT('Proyecto Datos (OKR´s)'!$K$7:$K33))*(LEN('Proyecto Datos (OKR´s)'!$G$7:$G33)&gt;0)),'Proyecto Datos (OKR´s)'!$G$7:$G33),""),"")</f>
      </c>
      <c r="E33" s="201">
        <f>IF($C33,'Proyecto Datos (OKR´s)'!$E33,"")</f>
      </c>
      <c r="F33" s="202">
        <f>IF($C33,'Proyecto Datos (OKR´s)'!$G33,"")</f>
      </c>
      <c r="G33" s="202">
        <f>IF($C33,IF('Proyecto Datos (OKR´s)'!$I33="","(Sin asignar)",'Proyecto Datos (OKR´s)'!$I33),"")</f>
      </c>
      <c r="H33" s="201">
        <f>IF($C33,IF(ISNUMBER('Proyecto Datos (OKR´s)'!$F33),'Proyecto Datos (OKR´s)'!$F33,'Proyecto Datos (OKR´s)'!$L33),"")</f>
      </c>
      <c r="I33" s="201">
        <f>IF($C33,'Proyecto Datos (OKR´s)'!$J33,"")</f>
      </c>
      <c r="J33" s="202">
        <f>IF($C33,IF($I33&gt;=1,"Completado",IF($H33&lt;TODAY(),"Vencido",IF(($H33-TODAY())&lt;='Entregas Próximas'!$M$3,"Próximo a vencer","En curso"))),"")</f>
      </c>
      <c r="K33" s="201">
        <f>IF($C33,$H33-TODAY(),"")</f>
      </c>
      <c r="L33" s="201">
        <f>IF($C33,$AD33*1000000+$H33+ROW()/100000,"")</f>
      </c>
      <c r="M33" s="201">
        <f>IF($C33,IF($AD33=9999,"(Sin sprint)",$AD33),"")</f>
      </c>
      <c r="N33" s="201">
        <f>IF($C33,IF('Proyecto Datos (OKR´s)'!$E33="",9999,'Proyecto Datos (OKR´s)'!$E33),"")</f>
      </c>
      <c r="O33" s="201">
        <f>IF($C33,"T"&amp;TEXT(ROW(),"000"),"")</f>
      </c>
      <c r="P33" s="201">
        <f>ROW()-6</f>
      </c>
      <c r="Q33" s="201">
        <f>IF(COUNTIF($AD$7:$AD$200,$P33)&gt;0,$P33,"")</f>
      </c>
      <c r="R33" s="201">
        <f>IF($C33,IF(ISNUMBER('Proyecto Datos (OKR´s)'!$L33),'Proyecto Datos (OKR´s)'!$L33,$H33),"")</f>
      </c>
      <c r="S33" s="201">
        <f>IF($C33,$R33-'Proyecto Datos (OKR´s)'!$K33+1,"")</f>
      </c>
      <c r="T33" s="201">
        <f>IF($C33,MAX(0,TODAY()-'Proyecto Datos (OKR´s)'!$K33),"")</f>
      </c>
      <c r="U33" s="201">
        <f>IF($C33,MEDIAN(0,(TODAY()-'Proyecto Datos (OKR´s)'!$K33)/MAX(1,$R33-'Proyecto Datos (OKR´s)'!$K33),1),"")</f>
      </c>
      <c r="V33" s="201">
        <f>IF($C33,$I33-$U33,"")</f>
      </c>
      <c r="W33" s="201">
        <f>IF($C33,IF($J33="Completado",0,MAX(0,TODAY()-$H33)),"")</f>
      </c>
      <c r="X33" s="201">
        <f>IF($C33,IF(ISNUMBER($H33),$R33-$H33,0),"")</f>
      </c>
      <c r="Y33" s="201">
        <f>IF($C33,COUNTIFS($G$7:$G$200,$G33,$J$7:$J$200,"&lt;&gt;Completado",$J$7:$J$200,"&lt;&gt;"),"")</f>
      </c>
      <c r="Z33" s="201">
        <f>IF($C33,AND($I33=0,'Proyecto Datos (OKR´s)'!$K33&lt;=TODAY(),$J33&lt;&gt;"Completado"),"")</f>
      </c>
      <c r="AA33" s="201">
        <f>IF($C33,ROUND(100*(0.35*$AK33+0.3*$AL33+0.2*$AM33+0.15*MEDIAN(0,($Y33-4)/8,1)),0),"")</f>
      </c>
      <c r="AB33" s="202">
        <f>IF($C33,IF($J33="Completado","—",IF($AA33&gt;=70,"Crítica",IF($AA33&gt;=45,"Alta",IF($AA33&gt;=25,"Media","Baja")))),"")</f>
      </c>
      <c r="AC33" s="202">
        <f>IF($C33,IF(LEN(TRIM($AN33))=0,"—",TRIM($AN33)),"")</f>
      </c>
      <c r="AD33" s="201">
        <f>IF($C33,IF($N33=9999,9999,IF($J33="Completado",$N33,MAX($N33,'Historial de Sprints'!$C$7))),"")</f>
      </c>
      <c r="AE33" s="201">
        <f>IF($C33,IF($AD33=9999,"(Sin sprint)",$AD33),"")</f>
      </c>
      <c r="AF33" s="201">
        <f>IF($C33,AND($N33&lt;&gt;9999,$AD33&lt;&gt;$N33),FALSE)</f>
      </c>
      <c r="AG33" s="201">
        <f>IF($AF33,'Historial de Sprints'!$C$5+$N33*'Historial de Sprints'!$C$6-1,"")</f>
      </c>
      <c r="AH33" s="202">
        <f>IF($AF33,"No completada al cierre del Sprint "&amp;$N33&amp;" -&gt; reasignada al Sprint "&amp;$AD33,"")</f>
      </c>
      <c r="AI33" s="201">
        <f>IF($AF33,$N33*100000+ROW(),"")</f>
      </c>
      <c r="AJ33" s="201">
        <f>IF($C33,$AA33*1000000-MEDIAN(-9999,$K33,9999)*100+(300-ROW()),"")</f>
      </c>
      <c r="AK33" s="201">
        <f>IF($C33,IF($J33="Completado",0,IF($K33&lt;0,1,IF($K33&lt;=3,0.9,IF($K33&lt;=7,0.7,IF($K33&lt;=14,0.45,0.2))))),"")</f>
      </c>
      <c r="AL33" s="201">
        <f>IF($C33,IF($J33="Completado",0,MEDIAN(0,MAX(-$V33,$W33/30),1)),"")</f>
      </c>
      <c r="AM33" s="201">
        <f>IF($C33,IF($J33="Completado",0,IF($Z33,1,IF(AND($I33&lt;0.5,$K33&lt;=7),0.7,0.3))),"")</f>
      </c>
      <c r="AN33" s="202">
        <f>IF($C33,IF(OR($V33&lt;-0.2,$W33&gt;0),"ATRASO ","")&amp;IF($Z33,"BLOQUEO ","")&amp;IF($Y33&gt;8,"SOBRECARGA ","")&amp;IF($X33&gt;0,"DESVÍO-PLAN ",""),"")</f>
      </c>
    </row>
    <row r="34">
      <c r="A34" s="201">
        <f>ROW()</f>
      </c>
      <c r="B34" s="201">
        <f>ISTEXT('Proyecto Datos (OKR´s)'!$K34)</f>
      </c>
      <c r="C34" s="201">
        <f>AND(LEN('Proyecto Datos (OKR´s)'!$G34)&gt;0,NOT($B34),OR(ISNUMBER('Proyecto Datos (OKR´s)'!$F34),ISNUMBER('Proyecto Datos (OKR´s)'!$L34)))</f>
      </c>
      <c r="D34" s="202">
        <f>IF($C34,IFERROR(LOOKUP(2,1/((ISTEXT('Proyecto Datos (OKR´s)'!$K$7:$K34))*(LEN('Proyecto Datos (OKR´s)'!$G$7:$G34)&gt;0)),'Proyecto Datos (OKR´s)'!$G$7:$G34),""),"")</f>
      </c>
      <c r="E34" s="201">
        <f>IF($C34,'Proyecto Datos (OKR´s)'!$E34,"")</f>
      </c>
      <c r="F34" s="202">
        <f>IF($C34,'Proyecto Datos (OKR´s)'!$G34,"")</f>
      </c>
      <c r="G34" s="202">
        <f>IF($C34,IF('Proyecto Datos (OKR´s)'!$I34="","(Sin asignar)",'Proyecto Datos (OKR´s)'!$I34),"")</f>
      </c>
      <c r="H34" s="201">
        <f>IF($C34,IF(ISNUMBER('Proyecto Datos (OKR´s)'!$F34),'Proyecto Datos (OKR´s)'!$F34,'Proyecto Datos (OKR´s)'!$L34),"")</f>
      </c>
      <c r="I34" s="201">
        <f>IF($C34,'Proyecto Datos (OKR´s)'!$J34,"")</f>
      </c>
      <c r="J34" s="202">
        <f>IF($C34,IF($I34&gt;=1,"Completado",IF($H34&lt;TODAY(),"Vencido",IF(($H34-TODAY())&lt;='Entregas Próximas'!$M$3,"Próximo a vencer","En curso"))),"")</f>
      </c>
      <c r="K34" s="201">
        <f>IF($C34,$H34-TODAY(),"")</f>
      </c>
      <c r="L34" s="201">
        <f>IF($C34,$AD34*1000000+$H34+ROW()/100000,"")</f>
      </c>
      <c r="M34" s="201">
        <f>IF($C34,IF($AD34=9999,"(Sin sprint)",$AD34),"")</f>
      </c>
      <c r="N34" s="201">
        <f>IF($C34,IF('Proyecto Datos (OKR´s)'!$E34="",9999,'Proyecto Datos (OKR´s)'!$E34),"")</f>
      </c>
      <c r="O34" s="201">
        <f>IF($C34,"T"&amp;TEXT(ROW(),"000"),"")</f>
      </c>
      <c r="P34" s="201">
        <f>ROW()-6</f>
      </c>
      <c r="Q34" s="201">
        <f>IF(COUNTIF($AD$7:$AD$200,$P34)&gt;0,$P34,"")</f>
      </c>
      <c r="R34" s="201">
        <f>IF($C34,IF(ISNUMBER('Proyecto Datos (OKR´s)'!$L34),'Proyecto Datos (OKR´s)'!$L34,$H34),"")</f>
      </c>
      <c r="S34" s="201">
        <f>IF($C34,$R34-'Proyecto Datos (OKR´s)'!$K34+1,"")</f>
      </c>
      <c r="T34" s="201">
        <f>IF($C34,MAX(0,TODAY()-'Proyecto Datos (OKR´s)'!$K34),"")</f>
      </c>
      <c r="U34" s="201">
        <f>IF($C34,MEDIAN(0,(TODAY()-'Proyecto Datos (OKR´s)'!$K34)/MAX(1,$R34-'Proyecto Datos (OKR´s)'!$K34),1),"")</f>
      </c>
      <c r="V34" s="201">
        <f>IF($C34,$I34-$U34,"")</f>
      </c>
      <c r="W34" s="201">
        <f>IF($C34,IF($J34="Completado",0,MAX(0,TODAY()-$H34)),"")</f>
      </c>
      <c r="X34" s="201">
        <f>IF($C34,IF(ISNUMBER($H34),$R34-$H34,0),"")</f>
      </c>
      <c r="Y34" s="201">
        <f>IF($C34,COUNTIFS($G$7:$G$200,$G34,$J$7:$J$200,"&lt;&gt;Completado",$J$7:$J$200,"&lt;&gt;"),"")</f>
      </c>
      <c r="Z34" s="201">
        <f>IF($C34,AND($I34=0,'Proyecto Datos (OKR´s)'!$K34&lt;=TODAY(),$J34&lt;&gt;"Completado"),"")</f>
      </c>
      <c r="AA34" s="201">
        <f>IF($C34,ROUND(100*(0.35*$AK34+0.3*$AL34+0.2*$AM34+0.15*MEDIAN(0,($Y34-4)/8,1)),0),"")</f>
      </c>
      <c r="AB34" s="202">
        <f>IF($C34,IF($J34="Completado","—",IF($AA34&gt;=70,"Crítica",IF($AA34&gt;=45,"Alta",IF($AA34&gt;=25,"Media","Baja")))),"")</f>
      </c>
      <c r="AC34" s="202">
        <f>IF($C34,IF(LEN(TRIM($AN34))=0,"—",TRIM($AN34)),"")</f>
      </c>
      <c r="AD34" s="201">
        <f>IF($C34,IF($N34=9999,9999,IF($J34="Completado",$N34,MAX($N34,'Historial de Sprints'!$C$7))),"")</f>
      </c>
      <c r="AE34" s="201">
        <f>IF($C34,IF($AD34=9999,"(Sin sprint)",$AD34),"")</f>
      </c>
      <c r="AF34" s="201">
        <f>IF($C34,AND($N34&lt;&gt;9999,$AD34&lt;&gt;$N34),FALSE)</f>
      </c>
      <c r="AG34" s="201">
        <f>IF($AF34,'Historial de Sprints'!$C$5+$N34*'Historial de Sprints'!$C$6-1,"")</f>
      </c>
      <c r="AH34" s="202">
        <f>IF($AF34,"No completada al cierre del Sprint "&amp;$N34&amp;" -&gt; reasignada al Sprint "&amp;$AD34,"")</f>
      </c>
      <c r="AI34" s="201">
        <f>IF($AF34,$N34*100000+ROW(),"")</f>
      </c>
      <c r="AJ34" s="201">
        <f>IF($C34,$AA34*1000000-MEDIAN(-9999,$K34,9999)*100+(300-ROW()),"")</f>
      </c>
      <c r="AK34" s="201">
        <f>IF($C34,IF($J34="Completado",0,IF($K34&lt;0,1,IF($K34&lt;=3,0.9,IF($K34&lt;=7,0.7,IF($K34&lt;=14,0.45,0.2))))),"")</f>
      </c>
      <c r="AL34" s="201">
        <f>IF($C34,IF($J34="Completado",0,MEDIAN(0,MAX(-$V34,$W34/30),1)),"")</f>
      </c>
      <c r="AM34" s="201">
        <f>IF($C34,IF($J34="Completado",0,IF($Z34,1,IF(AND($I34&lt;0.5,$K34&lt;=7),0.7,0.3))),"")</f>
      </c>
      <c r="AN34" s="202">
        <f>IF($C34,IF(OR($V34&lt;-0.2,$W34&gt;0),"ATRASO ","")&amp;IF($Z34,"BLOQUEO ","")&amp;IF($Y34&gt;8,"SOBRECARGA ","")&amp;IF($X34&gt;0,"DESVÍO-PLAN ",""),"")</f>
      </c>
    </row>
    <row r="35">
      <c r="A35" s="201">
        <f>ROW()</f>
      </c>
      <c r="B35" s="201">
        <f>ISTEXT('Proyecto Datos (OKR´s)'!$K35)</f>
      </c>
      <c r="C35" s="201">
        <f>AND(LEN('Proyecto Datos (OKR´s)'!$G35)&gt;0,NOT($B35),OR(ISNUMBER('Proyecto Datos (OKR´s)'!$F35),ISNUMBER('Proyecto Datos (OKR´s)'!$L35)))</f>
      </c>
      <c r="D35" s="202">
        <f>IF($C35,IFERROR(LOOKUP(2,1/((ISTEXT('Proyecto Datos (OKR´s)'!$K$7:$K35))*(LEN('Proyecto Datos (OKR´s)'!$G$7:$G35)&gt;0)),'Proyecto Datos (OKR´s)'!$G$7:$G35),""),"")</f>
      </c>
      <c r="E35" s="201">
        <f>IF($C35,'Proyecto Datos (OKR´s)'!$E35,"")</f>
      </c>
      <c r="F35" s="202">
        <f>IF($C35,'Proyecto Datos (OKR´s)'!$G35,"")</f>
      </c>
      <c r="G35" s="202">
        <f>IF($C35,IF('Proyecto Datos (OKR´s)'!$I35="","(Sin asignar)",'Proyecto Datos (OKR´s)'!$I35),"")</f>
      </c>
      <c r="H35" s="201">
        <f>IF($C35,IF(ISNUMBER('Proyecto Datos (OKR´s)'!$F35),'Proyecto Datos (OKR´s)'!$F35,'Proyecto Datos (OKR´s)'!$L35),"")</f>
      </c>
      <c r="I35" s="201">
        <f>IF($C35,'Proyecto Datos (OKR´s)'!$J35,"")</f>
      </c>
      <c r="J35" s="202">
        <f>IF($C35,IF($I35&gt;=1,"Completado",IF($H35&lt;TODAY(),"Vencido",IF(($H35-TODAY())&lt;='Entregas Próximas'!$M$3,"Próximo a vencer","En curso"))),"")</f>
      </c>
      <c r="K35" s="201">
        <f>IF($C35,$H35-TODAY(),"")</f>
      </c>
      <c r="L35" s="201">
        <f>IF($C35,$AD35*1000000+$H35+ROW()/100000,"")</f>
      </c>
      <c r="M35" s="201">
        <f>IF($C35,IF($AD35=9999,"(Sin sprint)",$AD35),"")</f>
      </c>
      <c r="N35" s="201">
        <f>IF($C35,IF('Proyecto Datos (OKR´s)'!$E35="",9999,'Proyecto Datos (OKR´s)'!$E35),"")</f>
      </c>
      <c r="O35" s="201">
        <f>IF($C35,"T"&amp;TEXT(ROW(),"000"),"")</f>
      </c>
      <c r="P35" s="201">
        <f>ROW()-6</f>
      </c>
      <c r="Q35" s="201">
        <f>IF(COUNTIF($AD$7:$AD$200,$P35)&gt;0,$P35,"")</f>
      </c>
      <c r="R35" s="201">
        <f>IF($C35,IF(ISNUMBER('Proyecto Datos (OKR´s)'!$L35),'Proyecto Datos (OKR´s)'!$L35,$H35),"")</f>
      </c>
      <c r="S35" s="201">
        <f>IF($C35,$R35-'Proyecto Datos (OKR´s)'!$K35+1,"")</f>
      </c>
      <c r="T35" s="201">
        <f>IF($C35,MAX(0,TODAY()-'Proyecto Datos (OKR´s)'!$K35),"")</f>
      </c>
      <c r="U35" s="201">
        <f>IF($C35,MEDIAN(0,(TODAY()-'Proyecto Datos (OKR´s)'!$K35)/MAX(1,$R35-'Proyecto Datos (OKR´s)'!$K35),1),"")</f>
      </c>
      <c r="V35" s="201">
        <f>IF($C35,$I35-$U35,"")</f>
      </c>
      <c r="W35" s="201">
        <f>IF($C35,IF($J35="Completado",0,MAX(0,TODAY()-$H35)),"")</f>
      </c>
      <c r="X35" s="201">
        <f>IF($C35,IF(ISNUMBER($H35),$R35-$H35,0),"")</f>
      </c>
      <c r="Y35" s="201">
        <f>IF($C35,COUNTIFS($G$7:$G$200,$G35,$J$7:$J$200,"&lt;&gt;Completado",$J$7:$J$200,"&lt;&gt;"),"")</f>
      </c>
      <c r="Z35" s="201">
        <f>IF($C35,AND($I35=0,'Proyecto Datos (OKR´s)'!$K35&lt;=TODAY(),$J35&lt;&gt;"Completado"),"")</f>
      </c>
      <c r="AA35" s="201">
        <f>IF($C35,ROUND(100*(0.35*$AK35+0.3*$AL35+0.2*$AM35+0.15*MEDIAN(0,($Y35-4)/8,1)),0),"")</f>
      </c>
      <c r="AB35" s="202">
        <f>IF($C35,IF($J35="Completado","—",IF($AA35&gt;=70,"Crítica",IF($AA35&gt;=45,"Alta",IF($AA35&gt;=25,"Media","Baja")))),"")</f>
      </c>
      <c r="AC35" s="202">
        <f>IF($C35,IF(LEN(TRIM($AN35))=0,"—",TRIM($AN35)),"")</f>
      </c>
      <c r="AD35" s="201">
        <f>IF($C35,IF($N35=9999,9999,IF($J35="Completado",$N35,MAX($N35,'Historial de Sprints'!$C$7))),"")</f>
      </c>
      <c r="AE35" s="201">
        <f>IF($C35,IF($AD35=9999,"(Sin sprint)",$AD35),"")</f>
      </c>
      <c r="AF35" s="201">
        <f>IF($C35,AND($N35&lt;&gt;9999,$AD35&lt;&gt;$N35),FALSE)</f>
      </c>
      <c r="AG35" s="201">
        <f>IF($AF35,'Historial de Sprints'!$C$5+$N35*'Historial de Sprints'!$C$6-1,"")</f>
      </c>
      <c r="AH35" s="202">
        <f>IF($AF35,"No completada al cierre del Sprint "&amp;$N35&amp;" -&gt; reasignada al Sprint "&amp;$AD35,"")</f>
      </c>
      <c r="AI35" s="201">
        <f>IF($AF35,$N35*100000+ROW(),"")</f>
      </c>
      <c r="AJ35" s="201">
        <f>IF($C35,$AA35*1000000-MEDIAN(-9999,$K35,9999)*100+(300-ROW()),"")</f>
      </c>
      <c r="AK35" s="201">
        <f>IF($C35,IF($J35="Completado",0,IF($K35&lt;0,1,IF($K35&lt;=3,0.9,IF($K35&lt;=7,0.7,IF($K35&lt;=14,0.45,0.2))))),"")</f>
      </c>
      <c r="AL35" s="201">
        <f>IF($C35,IF($J35="Completado",0,MEDIAN(0,MAX(-$V35,$W35/30),1)),"")</f>
      </c>
      <c r="AM35" s="201">
        <f>IF($C35,IF($J35="Completado",0,IF($Z35,1,IF(AND($I35&lt;0.5,$K35&lt;=7),0.7,0.3))),"")</f>
      </c>
      <c r="AN35" s="202">
        <f>IF($C35,IF(OR($V35&lt;-0.2,$W35&gt;0),"ATRASO ","")&amp;IF($Z35,"BLOQUEO ","")&amp;IF($Y35&gt;8,"SOBRECARGA ","")&amp;IF($X35&gt;0,"DESVÍO-PLAN ",""),"")</f>
      </c>
    </row>
    <row r="36">
      <c r="A36" s="201">
        <f>ROW()</f>
      </c>
      <c r="B36" s="201">
        <f>ISTEXT('Proyecto Datos (OKR´s)'!$K36)</f>
      </c>
      <c r="C36" s="201">
        <f>AND(LEN('Proyecto Datos (OKR´s)'!$G36)&gt;0,NOT($B36),OR(ISNUMBER('Proyecto Datos (OKR´s)'!$F36),ISNUMBER('Proyecto Datos (OKR´s)'!$L36)))</f>
      </c>
      <c r="D36" s="202">
        <f>IF($C36,IFERROR(LOOKUP(2,1/((ISTEXT('Proyecto Datos (OKR´s)'!$K$7:$K36))*(LEN('Proyecto Datos (OKR´s)'!$G$7:$G36)&gt;0)),'Proyecto Datos (OKR´s)'!$G$7:$G36),""),"")</f>
      </c>
      <c r="E36" s="201">
        <f>IF($C36,'Proyecto Datos (OKR´s)'!$E36,"")</f>
      </c>
      <c r="F36" s="202">
        <f>IF($C36,'Proyecto Datos (OKR´s)'!$G36,"")</f>
      </c>
      <c r="G36" s="202">
        <f>IF($C36,IF('Proyecto Datos (OKR´s)'!$I36="","(Sin asignar)",'Proyecto Datos (OKR´s)'!$I36),"")</f>
      </c>
      <c r="H36" s="201">
        <f>IF($C36,IF(ISNUMBER('Proyecto Datos (OKR´s)'!$F36),'Proyecto Datos (OKR´s)'!$F36,'Proyecto Datos (OKR´s)'!$L36),"")</f>
      </c>
      <c r="I36" s="201">
        <f>IF($C36,'Proyecto Datos (OKR´s)'!$J36,"")</f>
      </c>
      <c r="J36" s="202">
        <f>IF($C36,IF($I36&gt;=1,"Completado",IF($H36&lt;TODAY(),"Vencido",IF(($H36-TODAY())&lt;='Entregas Próximas'!$M$3,"Próximo a vencer","En curso"))),"")</f>
      </c>
      <c r="K36" s="201">
        <f>IF($C36,$H36-TODAY(),"")</f>
      </c>
      <c r="L36" s="201">
        <f>IF($C36,$AD36*1000000+$H36+ROW()/100000,"")</f>
      </c>
      <c r="M36" s="201">
        <f>IF($C36,IF($AD36=9999,"(Sin sprint)",$AD36),"")</f>
      </c>
      <c r="N36" s="201">
        <f>IF($C36,IF('Proyecto Datos (OKR´s)'!$E36="",9999,'Proyecto Datos (OKR´s)'!$E36),"")</f>
      </c>
      <c r="O36" s="201">
        <f>IF($C36,"T"&amp;TEXT(ROW(),"000"),"")</f>
      </c>
      <c r="P36" s="201">
        <f>ROW()-6</f>
      </c>
      <c r="Q36" s="201">
        <f>IF(COUNTIF($AD$7:$AD$200,$P36)&gt;0,$P36,"")</f>
      </c>
      <c r="R36" s="201">
        <f>IF($C36,IF(ISNUMBER('Proyecto Datos (OKR´s)'!$L36),'Proyecto Datos (OKR´s)'!$L36,$H36),"")</f>
      </c>
      <c r="S36" s="201">
        <f>IF($C36,$R36-'Proyecto Datos (OKR´s)'!$K36+1,"")</f>
      </c>
      <c r="T36" s="201">
        <f>IF($C36,MAX(0,TODAY()-'Proyecto Datos (OKR´s)'!$K36),"")</f>
      </c>
      <c r="U36" s="201">
        <f>IF($C36,MEDIAN(0,(TODAY()-'Proyecto Datos (OKR´s)'!$K36)/MAX(1,$R36-'Proyecto Datos (OKR´s)'!$K36),1),"")</f>
      </c>
      <c r="V36" s="201">
        <f>IF($C36,$I36-$U36,"")</f>
      </c>
      <c r="W36" s="201">
        <f>IF($C36,IF($J36="Completado",0,MAX(0,TODAY()-$H36)),"")</f>
      </c>
      <c r="X36" s="201">
        <f>IF($C36,IF(ISNUMBER($H36),$R36-$H36,0),"")</f>
      </c>
      <c r="Y36" s="201">
        <f>IF($C36,COUNTIFS($G$7:$G$200,$G36,$J$7:$J$200,"&lt;&gt;Completado",$J$7:$J$200,"&lt;&gt;"),"")</f>
      </c>
      <c r="Z36" s="201">
        <f>IF($C36,AND($I36=0,'Proyecto Datos (OKR´s)'!$K36&lt;=TODAY(),$J36&lt;&gt;"Completado"),"")</f>
      </c>
      <c r="AA36" s="201">
        <f>IF($C36,ROUND(100*(0.35*$AK36+0.3*$AL36+0.2*$AM36+0.15*MEDIAN(0,($Y36-4)/8,1)),0),"")</f>
      </c>
      <c r="AB36" s="202">
        <f>IF($C36,IF($J36="Completado","—",IF($AA36&gt;=70,"Crítica",IF($AA36&gt;=45,"Alta",IF($AA36&gt;=25,"Media","Baja")))),"")</f>
      </c>
      <c r="AC36" s="202">
        <f>IF($C36,IF(LEN(TRIM($AN36))=0,"—",TRIM($AN36)),"")</f>
      </c>
      <c r="AD36" s="201">
        <f>IF($C36,IF($N36=9999,9999,IF($J36="Completado",$N36,MAX($N36,'Historial de Sprints'!$C$7))),"")</f>
      </c>
      <c r="AE36" s="201">
        <f>IF($C36,IF($AD36=9999,"(Sin sprint)",$AD36),"")</f>
      </c>
      <c r="AF36" s="201">
        <f>IF($C36,AND($N36&lt;&gt;9999,$AD36&lt;&gt;$N36),FALSE)</f>
      </c>
      <c r="AG36" s="201">
        <f>IF($AF36,'Historial de Sprints'!$C$5+$N36*'Historial de Sprints'!$C$6-1,"")</f>
      </c>
      <c r="AH36" s="202">
        <f>IF($AF36,"No completada al cierre del Sprint "&amp;$N36&amp;" -&gt; reasignada al Sprint "&amp;$AD36,"")</f>
      </c>
      <c r="AI36" s="201">
        <f>IF($AF36,$N36*100000+ROW(),"")</f>
      </c>
      <c r="AJ36" s="201">
        <f>IF($C36,$AA36*1000000-MEDIAN(-9999,$K36,9999)*100+(300-ROW()),"")</f>
      </c>
      <c r="AK36" s="201">
        <f>IF($C36,IF($J36="Completado",0,IF($K36&lt;0,1,IF($K36&lt;=3,0.9,IF($K36&lt;=7,0.7,IF($K36&lt;=14,0.45,0.2))))),"")</f>
      </c>
      <c r="AL36" s="201">
        <f>IF($C36,IF($J36="Completado",0,MEDIAN(0,MAX(-$V36,$W36/30),1)),"")</f>
      </c>
      <c r="AM36" s="201">
        <f>IF($C36,IF($J36="Completado",0,IF($Z36,1,IF(AND($I36&lt;0.5,$K36&lt;=7),0.7,0.3))),"")</f>
      </c>
      <c r="AN36" s="202">
        <f>IF($C36,IF(OR($V36&lt;-0.2,$W36&gt;0),"ATRASO ","")&amp;IF($Z36,"BLOQUEO ","")&amp;IF($Y36&gt;8,"SOBRECARGA ","")&amp;IF($X36&gt;0,"DESVÍO-PLAN ",""),"")</f>
      </c>
    </row>
    <row r="37">
      <c r="A37" s="201">
        <f>ROW()</f>
      </c>
      <c r="B37" s="201">
        <f>ISTEXT('Proyecto Datos (OKR´s)'!$K37)</f>
      </c>
      <c r="C37" s="201">
        <f>AND(LEN('Proyecto Datos (OKR´s)'!$G37)&gt;0,NOT($B37),OR(ISNUMBER('Proyecto Datos (OKR´s)'!$F37),ISNUMBER('Proyecto Datos (OKR´s)'!$L37)))</f>
      </c>
      <c r="D37" s="202">
        <f>IF($C37,IFERROR(LOOKUP(2,1/((ISTEXT('Proyecto Datos (OKR´s)'!$K$7:$K37))*(LEN('Proyecto Datos (OKR´s)'!$G$7:$G37)&gt;0)),'Proyecto Datos (OKR´s)'!$G$7:$G37),""),"")</f>
      </c>
      <c r="E37" s="201">
        <f>IF($C37,'Proyecto Datos (OKR´s)'!$E37,"")</f>
      </c>
      <c r="F37" s="202">
        <f>IF($C37,'Proyecto Datos (OKR´s)'!$G37,"")</f>
      </c>
      <c r="G37" s="202">
        <f>IF($C37,IF('Proyecto Datos (OKR´s)'!$I37="","(Sin asignar)",'Proyecto Datos (OKR´s)'!$I37),"")</f>
      </c>
      <c r="H37" s="201">
        <f>IF($C37,IF(ISNUMBER('Proyecto Datos (OKR´s)'!$F37),'Proyecto Datos (OKR´s)'!$F37,'Proyecto Datos (OKR´s)'!$L37),"")</f>
      </c>
      <c r="I37" s="201">
        <f>IF($C37,'Proyecto Datos (OKR´s)'!$J37,"")</f>
      </c>
      <c r="J37" s="202">
        <f>IF($C37,IF($I37&gt;=1,"Completado",IF($H37&lt;TODAY(),"Vencido",IF(($H37-TODAY())&lt;='Entregas Próximas'!$M$3,"Próximo a vencer","En curso"))),"")</f>
      </c>
      <c r="K37" s="201">
        <f>IF($C37,$H37-TODAY(),"")</f>
      </c>
      <c r="L37" s="201">
        <f>IF($C37,$AD37*1000000+$H37+ROW()/100000,"")</f>
      </c>
      <c r="M37" s="201">
        <f>IF($C37,IF($AD37=9999,"(Sin sprint)",$AD37),"")</f>
      </c>
      <c r="N37" s="201">
        <f>IF($C37,IF('Proyecto Datos (OKR´s)'!$E37="",9999,'Proyecto Datos (OKR´s)'!$E37),"")</f>
      </c>
      <c r="O37" s="201">
        <f>IF($C37,"T"&amp;TEXT(ROW(),"000"),"")</f>
      </c>
      <c r="P37" s="201">
        <v>9999</v>
      </c>
      <c r="Q37" s="201">
        <f>IF(COUNTIF($AD$7:$AD$200,9999)&gt;0,9999,"")</f>
      </c>
      <c r="R37" s="201">
        <f>IF($C37,IF(ISNUMBER('Proyecto Datos (OKR´s)'!$L37),'Proyecto Datos (OKR´s)'!$L37,$H37),"")</f>
      </c>
      <c r="S37" s="201">
        <f>IF($C37,$R37-'Proyecto Datos (OKR´s)'!$K37+1,"")</f>
      </c>
      <c r="T37" s="201">
        <f>IF($C37,MAX(0,TODAY()-'Proyecto Datos (OKR´s)'!$K37),"")</f>
      </c>
      <c r="U37" s="201">
        <f>IF($C37,MEDIAN(0,(TODAY()-'Proyecto Datos (OKR´s)'!$K37)/MAX(1,$R37-'Proyecto Datos (OKR´s)'!$K37),1),"")</f>
      </c>
      <c r="V37" s="201">
        <f>IF($C37,$I37-$U37,"")</f>
      </c>
      <c r="W37" s="201">
        <f>IF($C37,IF($J37="Completado",0,MAX(0,TODAY()-$H37)),"")</f>
      </c>
      <c r="X37" s="201">
        <f>IF($C37,IF(ISNUMBER($H37),$R37-$H37,0),"")</f>
      </c>
      <c r="Y37" s="201">
        <f>IF($C37,COUNTIFS($G$7:$G$200,$G37,$J$7:$J$200,"&lt;&gt;Completado",$J$7:$J$200,"&lt;&gt;"),"")</f>
      </c>
      <c r="Z37" s="201">
        <f>IF($C37,AND($I37=0,'Proyecto Datos (OKR´s)'!$K37&lt;=TODAY(),$J37&lt;&gt;"Completado"),"")</f>
      </c>
      <c r="AA37" s="201">
        <f>IF($C37,ROUND(100*(0.35*$AK37+0.3*$AL37+0.2*$AM37+0.15*MEDIAN(0,($Y37-4)/8,1)),0),"")</f>
      </c>
      <c r="AB37" s="202">
        <f>IF($C37,IF($J37="Completado","—",IF($AA37&gt;=70,"Crítica",IF($AA37&gt;=45,"Alta",IF($AA37&gt;=25,"Media","Baja")))),"")</f>
      </c>
      <c r="AC37" s="202">
        <f>IF($C37,IF(LEN(TRIM($AN37))=0,"—",TRIM($AN37)),"")</f>
      </c>
      <c r="AD37" s="201">
        <f>IF($C37,IF($N37=9999,9999,IF($J37="Completado",$N37,MAX($N37,'Historial de Sprints'!$C$7))),"")</f>
      </c>
      <c r="AE37" s="201">
        <f>IF($C37,IF($AD37=9999,"(Sin sprint)",$AD37),"")</f>
      </c>
      <c r="AF37" s="201">
        <f>IF($C37,AND($N37&lt;&gt;9999,$AD37&lt;&gt;$N37),FALSE)</f>
      </c>
      <c r="AG37" s="201">
        <f>IF($AF37,'Historial de Sprints'!$C$5+$N37*'Historial de Sprints'!$C$6-1,"")</f>
      </c>
      <c r="AH37" s="202">
        <f>IF($AF37,"No completada al cierre del Sprint "&amp;$N37&amp;" -&gt; reasignada al Sprint "&amp;$AD37,"")</f>
      </c>
      <c r="AI37" s="201">
        <f>IF($AF37,$N37*100000+ROW(),"")</f>
      </c>
      <c r="AJ37" s="201">
        <f>IF($C37,$AA37*1000000-MEDIAN(-9999,$K37,9999)*100+(300-ROW()),"")</f>
      </c>
      <c r="AK37" s="201">
        <f>IF($C37,IF($J37="Completado",0,IF($K37&lt;0,1,IF($K37&lt;=3,0.9,IF($K37&lt;=7,0.7,IF($K37&lt;=14,0.45,0.2))))),"")</f>
      </c>
      <c r="AL37" s="201">
        <f>IF($C37,IF($J37="Completado",0,MEDIAN(0,MAX(-$V37,$W37/30),1)),"")</f>
      </c>
      <c r="AM37" s="201">
        <f>IF($C37,IF($J37="Completado",0,IF($Z37,1,IF(AND($I37&lt;0.5,$K37&lt;=7),0.7,0.3))),"")</f>
      </c>
      <c r="AN37" s="202">
        <f>IF($C37,IF(OR($V37&lt;-0.2,$W37&gt;0),"ATRASO ","")&amp;IF($Z37,"BLOQUEO ","")&amp;IF($Y37&gt;8,"SOBRECARGA ","")&amp;IF($X37&gt;0,"DESVÍO-PLAN ",""),"")</f>
      </c>
    </row>
    <row r="38">
      <c r="A38" s="201">
        <f>ROW()</f>
      </c>
      <c r="B38" s="201">
        <f>ISTEXT('Proyecto Datos (OKR´s)'!$K38)</f>
      </c>
      <c r="C38" s="201">
        <f>AND(LEN('Proyecto Datos (OKR´s)'!$G38)&gt;0,NOT($B38),OR(ISNUMBER('Proyecto Datos (OKR´s)'!$F38),ISNUMBER('Proyecto Datos (OKR´s)'!$L38)))</f>
      </c>
      <c r="D38" s="202">
        <f>IF($C38,IFERROR(LOOKUP(2,1/((ISTEXT('Proyecto Datos (OKR´s)'!$K$7:$K38))*(LEN('Proyecto Datos (OKR´s)'!$G$7:$G38)&gt;0)),'Proyecto Datos (OKR´s)'!$G$7:$G38),""),"")</f>
      </c>
      <c r="E38" s="201">
        <f>IF($C38,'Proyecto Datos (OKR´s)'!$E38,"")</f>
      </c>
      <c r="F38" s="202">
        <f>IF($C38,'Proyecto Datos (OKR´s)'!$G38,"")</f>
      </c>
      <c r="G38" s="202">
        <f>IF($C38,IF('Proyecto Datos (OKR´s)'!$I38="","(Sin asignar)",'Proyecto Datos (OKR´s)'!$I38),"")</f>
      </c>
      <c r="H38" s="201">
        <f>IF($C38,IF(ISNUMBER('Proyecto Datos (OKR´s)'!$F38),'Proyecto Datos (OKR´s)'!$F38,'Proyecto Datos (OKR´s)'!$L38),"")</f>
      </c>
      <c r="I38" s="201">
        <f>IF($C38,'Proyecto Datos (OKR´s)'!$J38,"")</f>
      </c>
      <c r="J38" s="202">
        <f>IF($C38,IF($I38&gt;=1,"Completado",IF($H38&lt;TODAY(),"Vencido",IF(($H38-TODAY())&lt;='Entregas Próximas'!$M$3,"Próximo a vencer","En curso"))),"")</f>
      </c>
      <c r="K38" s="201">
        <f>IF($C38,$H38-TODAY(),"")</f>
      </c>
      <c r="L38" s="201">
        <f>IF($C38,$AD38*1000000+$H38+ROW()/100000,"")</f>
      </c>
      <c r="M38" s="201">
        <f>IF($C38,IF($AD38=9999,"(Sin sprint)",$AD38),"")</f>
      </c>
      <c r="N38" s="201">
        <f>IF($C38,IF('Proyecto Datos (OKR´s)'!$E38="",9999,'Proyecto Datos (OKR´s)'!$E38),"")</f>
      </c>
      <c r="O38" s="201">
        <f>IF($C38,"T"&amp;TEXT(ROW(),"000"),"")</f>
      </c>
      <c r="R38" s="201">
        <f>IF($C38,IF(ISNUMBER('Proyecto Datos (OKR´s)'!$L38),'Proyecto Datos (OKR´s)'!$L38,$H38),"")</f>
      </c>
      <c r="S38" s="201">
        <f>IF($C38,$R38-'Proyecto Datos (OKR´s)'!$K38+1,"")</f>
      </c>
      <c r="T38" s="201">
        <f>IF($C38,MAX(0,TODAY()-'Proyecto Datos (OKR´s)'!$K38),"")</f>
      </c>
      <c r="U38" s="201">
        <f>IF($C38,MEDIAN(0,(TODAY()-'Proyecto Datos (OKR´s)'!$K38)/MAX(1,$R38-'Proyecto Datos (OKR´s)'!$K38),1),"")</f>
      </c>
      <c r="V38" s="201">
        <f>IF($C38,$I38-$U38,"")</f>
      </c>
      <c r="W38" s="201">
        <f>IF($C38,IF($J38="Completado",0,MAX(0,TODAY()-$H38)),"")</f>
      </c>
      <c r="X38" s="201">
        <f>IF($C38,IF(ISNUMBER($H38),$R38-$H38,0),"")</f>
      </c>
      <c r="Y38" s="201">
        <f>IF($C38,COUNTIFS($G$7:$G$200,$G38,$J$7:$J$200,"&lt;&gt;Completado",$J$7:$J$200,"&lt;&gt;"),"")</f>
      </c>
      <c r="Z38" s="201">
        <f>IF($C38,AND($I38=0,'Proyecto Datos (OKR´s)'!$K38&lt;=TODAY(),$J38&lt;&gt;"Completado"),"")</f>
      </c>
      <c r="AA38" s="201">
        <f>IF($C38,ROUND(100*(0.35*$AK38+0.3*$AL38+0.2*$AM38+0.15*MEDIAN(0,($Y38-4)/8,1)),0),"")</f>
      </c>
      <c r="AB38" s="202">
        <f>IF($C38,IF($J38="Completado","—",IF($AA38&gt;=70,"Crítica",IF($AA38&gt;=45,"Alta",IF($AA38&gt;=25,"Media","Baja")))),"")</f>
      </c>
      <c r="AC38" s="202">
        <f>IF($C38,IF(LEN(TRIM($AN38))=0,"—",TRIM($AN38)),"")</f>
      </c>
      <c r="AD38" s="201">
        <f>IF($C38,IF($N38=9999,9999,IF($J38="Completado",$N38,MAX($N38,'Historial de Sprints'!$C$7))),"")</f>
      </c>
      <c r="AE38" s="201">
        <f>IF($C38,IF($AD38=9999,"(Sin sprint)",$AD38),"")</f>
      </c>
      <c r="AF38" s="201">
        <f>IF($C38,AND($N38&lt;&gt;9999,$AD38&lt;&gt;$N38),FALSE)</f>
      </c>
      <c r="AG38" s="201">
        <f>IF($AF38,'Historial de Sprints'!$C$5+$N38*'Historial de Sprints'!$C$6-1,"")</f>
      </c>
      <c r="AH38" s="202">
        <f>IF($AF38,"No completada al cierre del Sprint "&amp;$N38&amp;" -&gt; reasignada al Sprint "&amp;$AD38,"")</f>
      </c>
      <c r="AI38" s="201">
        <f>IF($AF38,$N38*100000+ROW(),"")</f>
      </c>
      <c r="AJ38" s="201">
        <f>IF($C38,$AA38*1000000-MEDIAN(-9999,$K38,9999)*100+(300-ROW()),"")</f>
      </c>
      <c r="AK38" s="201">
        <f>IF($C38,IF($J38="Completado",0,IF($K38&lt;0,1,IF($K38&lt;=3,0.9,IF($K38&lt;=7,0.7,IF($K38&lt;=14,0.45,0.2))))),"")</f>
      </c>
      <c r="AL38" s="201">
        <f>IF($C38,IF($J38="Completado",0,MEDIAN(0,MAX(-$V38,$W38/30),1)),"")</f>
      </c>
      <c r="AM38" s="201">
        <f>IF($C38,IF($J38="Completado",0,IF($Z38,1,IF(AND($I38&lt;0.5,$K38&lt;=7),0.7,0.3))),"")</f>
      </c>
      <c r="AN38" s="202">
        <f>IF($C38,IF(OR($V38&lt;-0.2,$W38&gt;0),"ATRASO ","")&amp;IF($Z38,"BLOQUEO ","")&amp;IF($Y38&gt;8,"SOBRECARGA ","")&amp;IF($X38&gt;0,"DESVÍO-PLAN ",""),"")</f>
      </c>
    </row>
    <row r="39">
      <c r="A39" s="201">
        <f>ROW()</f>
      </c>
      <c r="B39" s="201">
        <f>ISTEXT('Proyecto Datos (OKR´s)'!$K39)</f>
      </c>
      <c r="C39" s="201">
        <f>AND(LEN('Proyecto Datos (OKR´s)'!$G39)&gt;0,NOT($B39),OR(ISNUMBER('Proyecto Datos (OKR´s)'!$F39),ISNUMBER('Proyecto Datos (OKR´s)'!$L39)))</f>
      </c>
      <c r="D39" s="202">
        <f>IF($C39,IFERROR(LOOKUP(2,1/((ISTEXT('Proyecto Datos (OKR´s)'!$K$7:$K39))*(LEN('Proyecto Datos (OKR´s)'!$G$7:$G39)&gt;0)),'Proyecto Datos (OKR´s)'!$G$7:$G39),""),"")</f>
      </c>
      <c r="E39" s="201">
        <f>IF($C39,'Proyecto Datos (OKR´s)'!$E39,"")</f>
      </c>
      <c r="F39" s="202">
        <f>IF($C39,'Proyecto Datos (OKR´s)'!$G39,"")</f>
      </c>
      <c r="G39" s="202">
        <f>IF($C39,IF('Proyecto Datos (OKR´s)'!$I39="","(Sin asignar)",'Proyecto Datos (OKR´s)'!$I39),"")</f>
      </c>
      <c r="H39" s="201">
        <f>IF($C39,IF(ISNUMBER('Proyecto Datos (OKR´s)'!$F39),'Proyecto Datos (OKR´s)'!$F39,'Proyecto Datos (OKR´s)'!$L39),"")</f>
      </c>
      <c r="I39" s="201">
        <f>IF($C39,'Proyecto Datos (OKR´s)'!$J39,"")</f>
      </c>
      <c r="J39" s="202">
        <f>IF($C39,IF($I39&gt;=1,"Completado",IF($H39&lt;TODAY(),"Vencido",IF(($H39-TODAY())&lt;='Entregas Próximas'!$M$3,"Próximo a vencer","En curso"))),"")</f>
      </c>
      <c r="K39" s="201">
        <f>IF($C39,$H39-TODAY(),"")</f>
      </c>
      <c r="L39" s="201">
        <f>IF($C39,$AD39*1000000+$H39+ROW()/100000,"")</f>
      </c>
      <c r="M39" s="201">
        <f>IF($C39,IF($AD39=9999,"(Sin sprint)",$AD39),"")</f>
      </c>
      <c r="N39" s="201">
        <f>IF($C39,IF('Proyecto Datos (OKR´s)'!$E39="",9999,'Proyecto Datos (OKR´s)'!$E39),"")</f>
      </c>
      <c r="O39" s="201">
        <f>IF($C39,"T"&amp;TEXT(ROW(),"000"),"")</f>
      </c>
      <c r="R39" s="201">
        <f>IF($C39,IF(ISNUMBER('Proyecto Datos (OKR´s)'!$L39),'Proyecto Datos (OKR´s)'!$L39,$H39),"")</f>
      </c>
      <c r="S39" s="201">
        <f>IF($C39,$R39-'Proyecto Datos (OKR´s)'!$K39+1,"")</f>
      </c>
      <c r="T39" s="201">
        <f>IF($C39,MAX(0,TODAY()-'Proyecto Datos (OKR´s)'!$K39),"")</f>
      </c>
      <c r="U39" s="201">
        <f>IF($C39,MEDIAN(0,(TODAY()-'Proyecto Datos (OKR´s)'!$K39)/MAX(1,$R39-'Proyecto Datos (OKR´s)'!$K39),1),"")</f>
      </c>
      <c r="V39" s="201">
        <f>IF($C39,$I39-$U39,"")</f>
      </c>
      <c r="W39" s="201">
        <f>IF($C39,IF($J39="Completado",0,MAX(0,TODAY()-$H39)),"")</f>
      </c>
      <c r="X39" s="201">
        <f>IF($C39,IF(ISNUMBER($H39),$R39-$H39,0),"")</f>
      </c>
      <c r="Y39" s="201">
        <f>IF($C39,COUNTIFS($G$7:$G$200,$G39,$J$7:$J$200,"&lt;&gt;Completado",$J$7:$J$200,"&lt;&gt;"),"")</f>
      </c>
      <c r="Z39" s="201">
        <f>IF($C39,AND($I39=0,'Proyecto Datos (OKR´s)'!$K39&lt;=TODAY(),$J39&lt;&gt;"Completado"),"")</f>
      </c>
      <c r="AA39" s="201">
        <f>IF($C39,ROUND(100*(0.35*$AK39+0.3*$AL39+0.2*$AM39+0.15*MEDIAN(0,($Y39-4)/8,1)),0),"")</f>
      </c>
      <c r="AB39" s="202">
        <f>IF($C39,IF($J39="Completado","—",IF($AA39&gt;=70,"Crítica",IF($AA39&gt;=45,"Alta",IF($AA39&gt;=25,"Media","Baja")))),"")</f>
      </c>
      <c r="AC39" s="202">
        <f>IF($C39,IF(LEN(TRIM($AN39))=0,"—",TRIM($AN39)),"")</f>
      </c>
      <c r="AD39" s="201">
        <f>IF($C39,IF($N39=9999,9999,IF($J39="Completado",$N39,MAX($N39,'Historial de Sprints'!$C$7))),"")</f>
      </c>
      <c r="AE39" s="201">
        <f>IF($C39,IF($AD39=9999,"(Sin sprint)",$AD39),"")</f>
      </c>
      <c r="AF39" s="201">
        <f>IF($C39,AND($N39&lt;&gt;9999,$AD39&lt;&gt;$N39),FALSE)</f>
      </c>
      <c r="AG39" s="201">
        <f>IF($AF39,'Historial de Sprints'!$C$5+$N39*'Historial de Sprints'!$C$6-1,"")</f>
      </c>
      <c r="AH39" s="202">
        <f>IF($AF39,"No completada al cierre del Sprint "&amp;$N39&amp;" -&gt; reasignada al Sprint "&amp;$AD39,"")</f>
      </c>
      <c r="AI39" s="201">
        <f>IF($AF39,$N39*100000+ROW(),"")</f>
      </c>
      <c r="AJ39" s="201">
        <f>IF($C39,$AA39*1000000-MEDIAN(-9999,$K39,9999)*100+(300-ROW()),"")</f>
      </c>
      <c r="AK39" s="201">
        <f>IF($C39,IF($J39="Completado",0,IF($K39&lt;0,1,IF($K39&lt;=3,0.9,IF($K39&lt;=7,0.7,IF($K39&lt;=14,0.45,0.2))))),"")</f>
      </c>
      <c r="AL39" s="201">
        <f>IF($C39,IF($J39="Completado",0,MEDIAN(0,MAX(-$V39,$W39/30),1)),"")</f>
      </c>
      <c r="AM39" s="201">
        <f>IF($C39,IF($J39="Completado",0,IF($Z39,1,IF(AND($I39&lt;0.5,$K39&lt;=7),0.7,0.3))),"")</f>
      </c>
      <c r="AN39" s="202">
        <f>IF($C39,IF(OR($V39&lt;-0.2,$W39&gt;0),"ATRASO ","")&amp;IF($Z39,"BLOQUEO ","")&amp;IF($Y39&gt;8,"SOBRECARGA ","")&amp;IF($X39&gt;0,"DESVÍO-PLAN ",""),"")</f>
      </c>
    </row>
    <row r="40">
      <c r="A40" s="201">
        <f>ROW()</f>
      </c>
      <c r="B40" s="201">
        <f>ISTEXT('Proyecto Datos (OKR´s)'!$K40)</f>
      </c>
      <c r="C40" s="201">
        <f>AND(LEN('Proyecto Datos (OKR´s)'!$G40)&gt;0,NOT($B40),OR(ISNUMBER('Proyecto Datos (OKR´s)'!$F40),ISNUMBER('Proyecto Datos (OKR´s)'!$L40)))</f>
      </c>
      <c r="D40" s="202">
        <f>IF($C40,IFERROR(LOOKUP(2,1/((ISTEXT('Proyecto Datos (OKR´s)'!$K$7:$K40))*(LEN('Proyecto Datos (OKR´s)'!$G$7:$G40)&gt;0)),'Proyecto Datos (OKR´s)'!$G$7:$G40),""),"")</f>
      </c>
      <c r="E40" s="201">
        <f>IF($C40,'Proyecto Datos (OKR´s)'!$E40,"")</f>
      </c>
      <c r="F40" s="202">
        <f>IF($C40,'Proyecto Datos (OKR´s)'!$G40,"")</f>
      </c>
      <c r="G40" s="202">
        <f>IF($C40,IF('Proyecto Datos (OKR´s)'!$I40="","(Sin asignar)",'Proyecto Datos (OKR´s)'!$I40),"")</f>
      </c>
      <c r="H40" s="201">
        <f>IF($C40,IF(ISNUMBER('Proyecto Datos (OKR´s)'!$F40),'Proyecto Datos (OKR´s)'!$F40,'Proyecto Datos (OKR´s)'!$L40),"")</f>
      </c>
      <c r="I40" s="201">
        <f>IF($C40,'Proyecto Datos (OKR´s)'!$J40,"")</f>
      </c>
      <c r="J40" s="202">
        <f>IF($C40,IF($I40&gt;=1,"Completado",IF($H40&lt;TODAY(),"Vencido",IF(($H40-TODAY())&lt;='Entregas Próximas'!$M$3,"Próximo a vencer","En curso"))),"")</f>
      </c>
      <c r="K40" s="201">
        <f>IF($C40,$H40-TODAY(),"")</f>
      </c>
      <c r="L40" s="201">
        <f>IF($C40,$AD40*1000000+$H40+ROW()/100000,"")</f>
      </c>
      <c r="M40" s="201">
        <f>IF($C40,IF($AD40=9999,"(Sin sprint)",$AD40),"")</f>
      </c>
      <c r="N40" s="201">
        <f>IF($C40,IF('Proyecto Datos (OKR´s)'!$E40="",9999,'Proyecto Datos (OKR´s)'!$E40),"")</f>
      </c>
      <c r="O40" s="201">
        <f>IF($C40,"T"&amp;TEXT(ROW(),"000"),"")</f>
      </c>
      <c r="R40" s="201">
        <f>IF($C40,IF(ISNUMBER('Proyecto Datos (OKR´s)'!$L40),'Proyecto Datos (OKR´s)'!$L40,$H40),"")</f>
      </c>
      <c r="S40" s="201">
        <f>IF($C40,$R40-'Proyecto Datos (OKR´s)'!$K40+1,"")</f>
      </c>
      <c r="T40" s="201">
        <f>IF($C40,MAX(0,TODAY()-'Proyecto Datos (OKR´s)'!$K40),"")</f>
      </c>
      <c r="U40" s="201">
        <f>IF($C40,MEDIAN(0,(TODAY()-'Proyecto Datos (OKR´s)'!$K40)/MAX(1,$R40-'Proyecto Datos (OKR´s)'!$K40),1),"")</f>
      </c>
      <c r="V40" s="201">
        <f>IF($C40,$I40-$U40,"")</f>
      </c>
      <c r="W40" s="201">
        <f>IF($C40,IF($J40="Completado",0,MAX(0,TODAY()-$H40)),"")</f>
      </c>
      <c r="X40" s="201">
        <f>IF($C40,IF(ISNUMBER($H40),$R40-$H40,0),"")</f>
      </c>
      <c r="Y40" s="201">
        <f>IF($C40,COUNTIFS($G$7:$G$200,$G40,$J$7:$J$200,"&lt;&gt;Completado",$J$7:$J$200,"&lt;&gt;"),"")</f>
      </c>
      <c r="Z40" s="201">
        <f>IF($C40,AND($I40=0,'Proyecto Datos (OKR´s)'!$K40&lt;=TODAY(),$J40&lt;&gt;"Completado"),"")</f>
      </c>
      <c r="AA40" s="201">
        <f>IF($C40,ROUND(100*(0.35*$AK40+0.3*$AL40+0.2*$AM40+0.15*MEDIAN(0,($Y40-4)/8,1)),0),"")</f>
      </c>
      <c r="AB40" s="202">
        <f>IF($C40,IF($J40="Completado","—",IF($AA40&gt;=70,"Crítica",IF($AA40&gt;=45,"Alta",IF($AA40&gt;=25,"Media","Baja")))),"")</f>
      </c>
      <c r="AC40" s="202">
        <f>IF($C40,IF(LEN(TRIM($AN40))=0,"—",TRIM($AN40)),"")</f>
      </c>
      <c r="AD40" s="201">
        <f>IF($C40,IF($N40=9999,9999,IF($J40="Completado",$N40,MAX($N40,'Historial de Sprints'!$C$7))),"")</f>
      </c>
      <c r="AE40" s="201">
        <f>IF($C40,IF($AD40=9999,"(Sin sprint)",$AD40),"")</f>
      </c>
      <c r="AF40" s="201">
        <f>IF($C40,AND($N40&lt;&gt;9999,$AD40&lt;&gt;$N40),FALSE)</f>
      </c>
      <c r="AG40" s="201">
        <f>IF($AF40,'Historial de Sprints'!$C$5+$N40*'Historial de Sprints'!$C$6-1,"")</f>
      </c>
      <c r="AH40" s="202">
        <f>IF($AF40,"No completada al cierre del Sprint "&amp;$N40&amp;" -&gt; reasignada al Sprint "&amp;$AD40,"")</f>
      </c>
      <c r="AI40" s="201">
        <f>IF($AF40,$N40*100000+ROW(),"")</f>
      </c>
      <c r="AJ40" s="201">
        <f>IF($C40,$AA40*1000000-MEDIAN(-9999,$K40,9999)*100+(300-ROW()),"")</f>
      </c>
      <c r="AK40" s="201">
        <f>IF($C40,IF($J40="Completado",0,IF($K40&lt;0,1,IF($K40&lt;=3,0.9,IF($K40&lt;=7,0.7,IF($K40&lt;=14,0.45,0.2))))),"")</f>
      </c>
      <c r="AL40" s="201">
        <f>IF($C40,IF($J40="Completado",0,MEDIAN(0,MAX(-$V40,$W40/30),1)),"")</f>
      </c>
      <c r="AM40" s="201">
        <f>IF($C40,IF($J40="Completado",0,IF($Z40,1,IF(AND($I40&lt;0.5,$K40&lt;=7),0.7,0.3))),"")</f>
      </c>
      <c r="AN40" s="202">
        <f>IF($C40,IF(OR($V40&lt;-0.2,$W40&gt;0),"ATRASO ","")&amp;IF($Z40,"BLOQUEO ","")&amp;IF($Y40&gt;8,"SOBRECARGA ","")&amp;IF($X40&gt;0,"DESVÍO-PLAN ",""),"")</f>
      </c>
    </row>
    <row r="41">
      <c r="A41" s="201">
        <f>ROW()</f>
      </c>
      <c r="B41" s="201">
        <f>ISTEXT('Proyecto Datos (OKR´s)'!$K41)</f>
      </c>
      <c r="C41" s="201">
        <f>AND(LEN('Proyecto Datos (OKR´s)'!$G41)&gt;0,NOT($B41),OR(ISNUMBER('Proyecto Datos (OKR´s)'!$F41),ISNUMBER('Proyecto Datos (OKR´s)'!$L41)))</f>
      </c>
      <c r="D41" s="202">
        <f>IF($C41,IFERROR(LOOKUP(2,1/((ISTEXT('Proyecto Datos (OKR´s)'!$K$7:$K41))*(LEN('Proyecto Datos (OKR´s)'!$G$7:$G41)&gt;0)),'Proyecto Datos (OKR´s)'!$G$7:$G41),""),"")</f>
      </c>
      <c r="E41" s="201">
        <f>IF($C41,'Proyecto Datos (OKR´s)'!$E41,"")</f>
      </c>
      <c r="F41" s="202">
        <f>IF($C41,'Proyecto Datos (OKR´s)'!$G41,"")</f>
      </c>
      <c r="G41" s="202">
        <f>IF($C41,IF('Proyecto Datos (OKR´s)'!$I41="","(Sin asignar)",'Proyecto Datos (OKR´s)'!$I41),"")</f>
      </c>
      <c r="H41" s="201">
        <f>IF($C41,IF(ISNUMBER('Proyecto Datos (OKR´s)'!$F41),'Proyecto Datos (OKR´s)'!$F41,'Proyecto Datos (OKR´s)'!$L41),"")</f>
      </c>
      <c r="I41" s="201">
        <f>IF($C41,'Proyecto Datos (OKR´s)'!$J41,"")</f>
      </c>
      <c r="J41" s="202">
        <f>IF($C41,IF($I41&gt;=1,"Completado",IF($H41&lt;TODAY(),"Vencido",IF(($H41-TODAY())&lt;='Entregas Próximas'!$M$3,"Próximo a vencer","En curso"))),"")</f>
      </c>
      <c r="K41" s="201">
        <f>IF($C41,$H41-TODAY(),"")</f>
      </c>
      <c r="L41" s="201">
        <f>IF($C41,$AD41*1000000+$H41+ROW()/100000,"")</f>
      </c>
      <c r="M41" s="201">
        <f>IF($C41,IF($AD41=9999,"(Sin sprint)",$AD41),"")</f>
      </c>
      <c r="N41" s="201">
        <f>IF($C41,IF('Proyecto Datos (OKR´s)'!$E41="",9999,'Proyecto Datos (OKR´s)'!$E41),"")</f>
      </c>
      <c r="O41" s="201">
        <f>IF($C41,"T"&amp;TEXT(ROW(),"000"),"")</f>
      </c>
      <c r="R41" s="201">
        <f>IF($C41,IF(ISNUMBER('Proyecto Datos (OKR´s)'!$L41),'Proyecto Datos (OKR´s)'!$L41,$H41),"")</f>
      </c>
      <c r="S41" s="201">
        <f>IF($C41,$R41-'Proyecto Datos (OKR´s)'!$K41+1,"")</f>
      </c>
      <c r="T41" s="201">
        <f>IF($C41,MAX(0,TODAY()-'Proyecto Datos (OKR´s)'!$K41),"")</f>
      </c>
      <c r="U41" s="201">
        <f>IF($C41,MEDIAN(0,(TODAY()-'Proyecto Datos (OKR´s)'!$K41)/MAX(1,$R41-'Proyecto Datos (OKR´s)'!$K41),1),"")</f>
      </c>
      <c r="V41" s="201">
        <f>IF($C41,$I41-$U41,"")</f>
      </c>
      <c r="W41" s="201">
        <f>IF($C41,IF($J41="Completado",0,MAX(0,TODAY()-$H41)),"")</f>
      </c>
      <c r="X41" s="201">
        <f>IF($C41,IF(ISNUMBER($H41),$R41-$H41,0),"")</f>
      </c>
      <c r="Y41" s="201">
        <f>IF($C41,COUNTIFS($G$7:$G$200,$G41,$J$7:$J$200,"&lt;&gt;Completado",$J$7:$J$200,"&lt;&gt;"),"")</f>
      </c>
      <c r="Z41" s="201">
        <f>IF($C41,AND($I41=0,'Proyecto Datos (OKR´s)'!$K41&lt;=TODAY(),$J41&lt;&gt;"Completado"),"")</f>
      </c>
      <c r="AA41" s="201">
        <f>IF($C41,ROUND(100*(0.35*$AK41+0.3*$AL41+0.2*$AM41+0.15*MEDIAN(0,($Y41-4)/8,1)),0),"")</f>
      </c>
      <c r="AB41" s="202">
        <f>IF($C41,IF($J41="Completado","—",IF($AA41&gt;=70,"Crítica",IF($AA41&gt;=45,"Alta",IF($AA41&gt;=25,"Media","Baja")))),"")</f>
      </c>
      <c r="AC41" s="202">
        <f>IF($C41,IF(LEN(TRIM($AN41))=0,"—",TRIM($AN41)),"")</f>
      </c>
      <c r="AD41" s="201">
        <f>IF($C41,IF($N41=9999,9999,IF($J41="Completado",$N41,MAX($N41,'Historial de Sprints'!$C$7))),"")</f>
      </c>
      <c r="AE41" s="201">
        <f>IF($C41,IF($AD41=9999,"(Sin sprint)",$AD41),"")</f>
      </c>
      <c r="AF41" s="201">
        <f>IF($C41,AND($N41&lt;&gt;9999,$AD41&lt;&gt;$N41),FALSE)</f>
      </c>
      <c r="AG41" s="201">
        <f>IF($AF41,'Historial de Sprints'!$C$5+$N41*'Historial de Sprints'!$C$6-1,"")</f>
      </c>
      <c r="AH41" s="202">
        <f>IF($AF41,"No completada al cierre del Sprint "&amp;$N41&amp;" -&gt; reasignada al Sprint "&amp;$AD41,"")</f>
      </c>
      <c r="AI41" s="201">
        <f>IF($AF41,$N41*100000+ROW(),"")</f>
      </c>
      <c r="AJ41" s="201">
        <f>IF($C41,$AA41*1000000-MEDIAN(-9999,$K41,9999)*100+(300-ROW()),"")</f>
      </c>
      <c r="AK41" s="201">
        <f>IF($C41,IF($J41="Completado",0,IF($K41&lt;0,1,IF($K41&lt;=3,0.9,IF($K41&lt;=7,0.7,IF($K41&lt;=14,0.45,0.2))))),"")</f>
      </c>
      <c r="AL41" s="201">
        <f>IF($C41,IF($J41="Completado",0,MEDIAN(0,MAX(-$V41,$W41/30),1)),"")</f>
      </c>
      <c r="AM41" s="201">
        <f>IF($C41,IF($J41="Completado",0,IF($Z41,1,IF(AND($I41&lt;0.5,$K41&lt;=7),0.7,0.3))),"")</f>
      </c>
      <c r="AN41" s="202">
        <f>IF($C41,IF(OR($V41&lt;-0.2,$W41&gt;0),"ATRASO ","")&amp;IF($Z41,"BLOQUEO ","")&amp;IF($Y41&gt;8,"SOBRECARGA ","")&amp;IF($X41&gt;0,"DESVÍO-PLAN ",""),"")</f>
      </c>
    </row>
    <row r="42">
      <c r="A42" s="201">
        <f>ROW()</f>
      </c>
      <c r="B42" s="201">
        <f>ISTEXT('Proyecto Datos (OKR´s)'!$K42)</f>
      </c>
      <c r="C42" s="201">
        <f>AND(LEN('Proyecto Datos (OKR´s)'!$G42)&gt;0,NOT($B42),OR(ISNUMBER('Proyecto Datos (OKR´s)'!$F42),ISNUMBER('Proyecto Datos (OKR´s)'!$L42)))</f>
      </c>
      <c r="D42" s="202">
        <f>IF($C42,IFERROR(LOOKUP(2,1/((ISTEXT('Proyecto Datos (OKR´s)'!$K$7:$K42))*(LEN('Proyecto Datos (OKR´s)'!$G$7:$G42)&gt;0)),'Proyecto Datos (OKR´s)'!$G$7:$G42),""),"")</f>
      </c>
      <c r="E42" s="201">
        <f>IF($C42,'Proyecto Datos (OKR´s)'!$E42,"")</f>
      </c>
      <c r="F42" s="202">
        <f>IF($C42,'Proyecto Datos (OKR´s)'!$G42,"")</f>
      </c>
      <c r="G42" s="202">
        <f>IF($C42,IF('Proyecto Datos (OKR´s)'!$I42="","(Sin asignar)",'Proyecto Datos (OKR´s)'!$I42),"")</f>
      </c>
      <c r="H42" s="201">
        <f>IF($C42,IF(ISNUMBER('Proyecto Datos (OKR´s)'!$F42),'Proyecto Datos (OKR´s)'!$F42,'Proyecto Datos (OKR´s)'!$L42),"")</f>
      </c>
      <c r="I42" s="201">
        <f>IF($C42,'Proyecto Datos (OKR´s)'!$J42,"")</f>
      </c>
      <c r="J42" s="202">
        <f>IF($C42,IF($I42&gt;=1,"Completado",IF($H42&lt;TODAY(),"Vencido",IF(($H42-TODAY())&lt;='Entregas Próximas'!$M$3,"Próximo a vencer","En curso"))),"")</f>
      </c>
      <c r="K42" s="201">
        <f>IF($C42,$H42-TODAY(),"")</f>
      </c>
      <c r="L42" s="201">
        <f>IF($C42,$AD42*1000000+$H42+ROW()/100000,"")</f>
      </c>
      <c r="M42" s="201">
        <f>IF($C42,IF($AD42=9999,"(Sin sprint)",$AD42),"")</f>
      </c>
      <c r="N42" s="201">
        <f>IF($C42,IF('Proyecto Datos (OKR´s)'!$E42="",9999,'Proyecto Datos (OKR´s)'!$E42),"")</f>
      </c>
      <c r="O42" s="201">
        <f>IF($C42,"T"&amp;TEXT(ROW(),"000"),"")</f>
      </c>
      <c r="R42" s="201">
        <f>IF($C42,IF(ISNUMBER('Proyecto Datos (OKR´s)'!$L42),'Proyecto Datos (OKR´s)'!$L42,$H42),"")</f>
      </c>
      <c r="S42" s="201">
        <f>IF($C42,$R42-'Proyecto Datos (OKR´s)'!$K42+1,"")</f>
      </c>
      <c r="T42" s="201">
        <f>IF($C42,MAX(0,TODAY()-'Proyecto Datos (OKR´s)'!$K42),"")</f>
      </c>
      <c r="U42" s="201">
        <f>IF($C42,MEDIAN(0,(TODAY()-'Proyecto Datos (OKR´s)'!$K42)/MAX(1,$R42-'Proyecto Datos (OKR´s)'!$K42),1),"")</f>
      </c>
      <c r="V42" s="201">
        <f>IF($C42,$I42-$U42,"")</f>
      </c>
      <c r="W42" s="201">
        <f>IF($C42,IF($J42="Completado",0,MAX(0,TODAY()-$H42)),"")</f>
      </c>
      <c r="X42" s="201">
        <f>IF($C42,IF(ISNUMBER($H42),$R42-$H42,0),"")</f>
      </c>
      <c r="Y42" s="201">
        <f>IF($C42,COUNTIFS($G$7:$G$200,$G42,$J$7:$J$200,"&lt;&gt;Completado",$J$7:$J$200,"&lt;&gt;"),"")</f>
      </c>
      <c r="Z42" s="201">
        <f>IF($C42,AND($I42=0,'Proyecto Datos (OKR´s)'!$K42&lt;=TODAY(),$J42&lt;&gt;"Completado"),"")</f>
      </c>
      <c r="AA42" s="201">
        <f>IF($C42,ROUND(100*(0.35*$AK42+0.3*$AL42+0.2*$AM42+0.15*MEDIAN(0,($Y42-4)/8,1)),0),"")</f>
      </c>
      <c r="AB42" s="202">
        <f>IF($C42,IF($J42="Completado","—",IF($AA42&gt;=70,"Crítica",IF($AA42&gt;=45,"Alta",IF($AA42&gt;=25,"Media","Baja")))),"")</f>
      </c>
      <c r="AC42" s="202">
        <f>IF($C42,IF(LEN(TRIM($AN42))=0,"—",TRIM($AN42)),"")</f>
      </c>
      <c r="AD42" s="201">
        <f>IF($C42,IF($N42=9999,9999,IF($J42="Completado",$N42,MAX($N42,'Historial de Sprints'!$C$7))),"")</f>
      </c>
      <c r="AE42" s="201">
        <f>IF($C42,IF($AD42=9999,"(Sin sprint)",$AD42),"")</f>
      </c>
      <c r="AF42" s="201">
        <f>IF($C42,AND($N42&lt;&gt;9999,$AD42&lt;&gt;$N42),FALSE)</f>
      </c>
      <c r="AG42" s="201">
        <f>IF($AF42,'Historial de Sprints'!$C$5+$N42*'Historial de Sprints'!$C$6-1,"")</f>
      </c>
      <c r="AH42" s="202">
        <f>IF($AF42,"No completada al cierre del Sprint "&amp;$N42&amp;" -&gt; reasignada al Sprint "&amp;$AD42,"")</f>
      </c>
      <c r="AI42" s="201">
        <f>IF($AF42,$N42*100000+ROW(),"")</f>
      </c>
      <c r="AJ42" s="201">
        <f>IF($C42,$AA42*1000000-MEDIAN(-9999,$K42,9999)*100+(300-ROW()),"")</f>
      </c>
      <c r="AK42" s="201">
        <f>IF($C42,IF($J42="Completado",0,IF($K42&lt;0,1,IF($K42&lt;=3,0.9,IF($K42&lt;=7,0.7,IF($K42&lt;=14,0.45,0.2))))),"")</f>
      </c>
      <c r="AL42" s="201">
        <f>IF($C42,IF($J42="Completado",0,MEDIAN(0,MAX(-$V42,$W42/30),1)),"")</f>
      </c>
      <c r="AM42" s="201">
        <f>IF($C42,IF($J42="Completado",0,IF($Z42,1,IF(AND($I42&lt;0.5,$K42&lt;=7),0.7,0.3))),"")</f>
      </c>
      <c r="AN42" s="202">
        <f>IF($C42,IF(OR($V42&lt;-0.2,$W42&gt;0),"ATRASO ","")&amp;IF($Z42,"BLOQUEO ","")&amp;IF($Y42&gt;8,"SOBRECARGA ","")&amp;IF($X42&gt;0,"DESVÍO-PLAN ",""),"")</f>
      </c>
    </row>
    <row r="43">
      <c r="A43" s="201">
        <f>ROW()</f>
      </c>
      <c r="B43" s="201">
        <f>ISTEXT('Proyecto Datos (OKR´s)'!$K43)</f>
      </c>
      <c r="C43" s="201">
        <f>AND(LEN('Proyecto Datos (OKR´s)'!$G43)&gt;0,NOT($B43),OR(ISNUMBER('Proyecto Datos (OKR´s)'!$F43),ISNUMBER('Proyecto Datos (OKR´s)'!$L43)))</f>
      </c>
      <c r="D43" s="202">
        <f>IF($C43,IFERROR(LOOKUP(2,1/((ISTEXT('Proyecto Datos (OKR´s)'!$K$7:$K43))*(LEN('Proyecto Datos (OKR´s)'!$G$7:$G43)&gt;0)),'Proyecto Datos (OKR´s)'!$G$7:$G43),""),"")</f>
      </c>
      <c r="E43" s="201">
        <f>IF($C43,'Proyecto Datos (OKR´s)'!$E43,"")</f>
      </c>
      <c r="F43" s="202">
        <f>IF($C43,'Proyecto Datos (OKR´s)'!$G43,"")</f>
      </c>
      <c r="G43" s="202">
        <f>IF($C43,IF('Proyecto Datos (OKR´s)'!$I43="","(Sin asignar)",'Proyecto Datos (OKR´s)'!$I43),"")</f>
      </c>
      <c r="H43" s="201">
        <f>IF($C43,IF(ISNUMBER('Proyecto Datos (OKR´s)'!$F43),'Proyecto Datos (OKR´s)'!$F43,'Proyecto Datos (OKR´s)'!$L43),"")</f>
      </c>
      <c r="I43" s="201">
        <f>IF($C43,'Proyecto Datos (OKR´s)'!$J43,"")</f>
      </c>
      <c r="J43" s="202">
        <f>IF($C43,IF($I43&gt;=1,"Completado",IF($H43&lt;TODAY(),"Vencido",IF(($H43-TODAY())&lt;='Entregas Próximas'!$M$3,"Próximo a vencer","En curso"))),"")</f>
      </c>
      <c r="K43" s="201">
        <f>IF($C43,$H43-TODAY(),"")</f>
      </c>
      <c r="L43" s="201">
        <f>IF($C43,$AD43*1000000+$H43+ROW()/100000,"")</f>
      </c>
      <c r="M43" s="201">
        <f>IF($C43,IF($AD43=9999,"(Sin sprint)",$AD43),"")</f>
      </c>
      <c r="N43" s="201">
        <f>IF($C43,IF('Proyecto Datos (OKR´s)'!$E43="",9999,'Proyecto Datos (OKR´s)'!$E43),"")</f>
      </c>
      <c r="O43" s="201">
        <f>IF($C43,"T"&amp;TEXT(ROW(),"000"),"")</f>
      </c>
      <c r="R43" s="201">
        <f>IF($C43,IF(ISNUMBER('Proyecto Datos (OKR´s)'!$L43),'Proyecto Datos (OKR´s)'!$L43,$H43),"")</f>
      </c>
      <c r="S43" s="201">
        <f>IF($C43,$R43-'Proyecto Datos (OKR´s)'!$K43+1,"")</f>
      </c>
      <c r="T43" s="201">
        <f>IF($C43,MAX(0,TODAY()-'Proyecto Datos (OKR´s)'!$K43),"")</f>
      </c>
      <c r="U43" s="201">
        <f>IF($C43,MEDIAN(0,(TODAY()-'Proyecto Datos (OKR´s)'!$K43)/MAX(1,$R43-'Proyecto Datos (OKR´s)'!$K43),1),"")</f>
      </c>
      <c r="V43" s="201">
        <f>IF($C43,$I43-$U43,"")</f>
      </c>
      <c r="W43" s="201">
        <f>IF($C43,IF($J43="Completado",0,MAX(0,TODAY()-$H43)),"")</f>
      </c>
      <c r="X43" s="201">
        <f>IF($C43,IF(ISNUMBER($H43),$R43-$H43,0),"")</f>
      </c>
      <c r="Y43" s="201">
        <f>IF($C43,COUNTIFS($G$7:$G$200,$G43,$J$7:$J$200,"&lt;&gt;Completado",$J$7:$J$200,"&lt;&gt;"),"")</f>
      </c>
      <c r="Z43" s="201">
        <f>IF($C43,AND($I43=0,'Proyecto Datos (OKR´s)'!$K43&lt;=TODAY(),$J43&lt;&gt;"Completado"),"")</f>
      </c>
      <c r="AA43" s="201">
        <f>IF($C43,ROUND(100*(0.35*$AK43+0.3*$AL43+0.2*$AM43+0.15*MEDIAN(0,($Y43-4)/8,1)),0),"")</f>
      </c>
      <c r="AB43" s="202">
        <f>IF($C43,IF($J43="Completado","—",IF($AA43&gt;=70,"Crítica",IF($AA43&gt;=45,"Alta",IF($AA43&gt;=25,"Media","Baja")))),"")</f>
      </c>
      <c r="AC43" s="202">
        <f>IF($C43,IF(LEN(TRIM($AN43))=0,"—",TRIM($AN43)),"")</f>
      </c>
      <c r="AD43" s="201">
        <f>IF($C43,IF($N43=9999,9999,IF($J43="Completado",$N43,MAX($N43,'Historial de Sprints'!$C$7))),"")</f>
      </c>
      <c r="AE43" s="201">
        <f>IF($C43,IF($AD43=9999,"(Sin sprint)",$AD43),"")</f>
      </c>
      <c r="AF43" s="201">
        <f>IF($C43,AND($N43&lt;&gt;9999,$AD43&lt;&gt;$N43),FALSE)</f>
      </c>
      <c r="AG43" s="201">
        <f>IF($AF43,'Historial de Sprints'!$C$5+$N43*'Historial de Sprints'!$C$6-1,"")</f>
      </c>
      <c r="AH43" s="202">
        <f>IF($AF43,"No completada al cierre del Sprint "&amp;$N43&amp;" -&gt; reasignada al Sprint "&amp;$AD43,"")</f>
      </c>
      <c r="AI43" s="201">
        <f>IF($AF43,$N43*100000+ROW(),"")</f>
      </c>
      <c r="AJ43" s="201">
        <f>IF($C43,$AA43*1000000-MEDIAN(-9999,$K43,9999)*100+(300-ROW()),"")</f>
      </c>
      <c r="AK43" s="201">
        <f>IF($C43,IF($J43="Completado",0,IF($K43&lt;0,1,IF($K43&lt;=3,0.9,IF($K43&lt;=7,0.7,IF($K43&lt;=14,0.45,0.2))))),"")</f>
      </c>
      <c r="AL43" s="201">
        <f>IF($C43,IF($J43="Completado",0,MEDIAN(0,MAX(-$V43,$W43/30),1)),"")</f>
      </c>
      <c r="AM43" s="201">
        <f>IF($C43,IF($J43="Completado",0,IF($Z43,1,IF(AND($I43&lt;0.5,$K43&lt;=7),0.7,0.3))),"")</f>
      </c>
      <c r="AN43" s="202">
        <f>IF($C43,IF(OR($V43&lt;-0.2,$W43&gt;0),"ATRASO ","")&amp;IF($Z43,"BLOQUEO ","")&amp;IF($Y43&gt;8,"SOBRECARGA ","")&amp;IF($X43&gt;0,"DESVÍO-PLAN ",""),"")</f>
      </c>
    </row>
    <row r="44">
      <c r="A44" s="201">
        <f>ROW()</f>
      </c>
      <c r="B44" s="201">
        <f>ISTEXT('Proyecto Datos (OKR´s)'!$K44)</f>
      </c>
      <c r="C44" s="201">
        <f>AND(LEN('Proyecto Datos (OKR´s)'!$G44)&gt;0,NOT($B44),OR(ISNUMBER('Proyecto Datos (OKR´s)'!$F44),ISNUMBER('Proyecto Datos (OKR´s)'!$L44)))</f>
      </c>
      <c r="D44" s="202">
        <f>IF($C44,IFERROR(LOOKUP(2,1/((ISTEXT('Proyecto Datos (OKR´s)'!$K$7:$K44))*(LEN('Proyecto Datos (OKR´s)'!$G$7:$G44)&gt;0)),'Proyecto Datos (OKR´s)'!$G$7:$G44),""),"")</f>
      </c>
      <c r="E44" s="201">
        <f>IF($C44,'Proyecto Datos (OKR´s)'!$E44,"")</f>
      </c>
      <c r="F44" s="202">
        <f>IF($C44,'Proyecto Datos (OKR´s)'!$G44,"")</f>
      </c>
      <c r="G44" s="202">
        <f>IF($C44,IF('Proyecto Datos (OKR´s)'!$I44="","(Sin asignar)",'Proyecto Datos (OKR´s)'!$I44),"")</f>
      </c>
      <c r="H44" s="201">
        <f>IF($C44,IF(ISNUMBER('Proyecto Datos (OKR´s)'!$F44),'Proyecto Datos (OKR´s)'!$F44,'Proyecto Datos (OKR´s)'!$L44),"")</f>
      </c>
      <c r="I44" s="201">
        <f>IF($C44,'Proyecto Datos (OKR´s)'!$J44,"")</f>
      </c>
      <c r="J44" s="202">
        <f>IF($C44,IF($I44&gt;=1,"Completado",IF($H44&lt;TODAY(),"Vencido",IF(($H44-TODAY())&lt;='Entregas Próximas'!$M$3,"Próximo a vencer","En curso"))),"")</f>
      </c>
      <c r="K44" s="201">
        <f>IF($C44,$H44-TODAY(),"")</f>
      </c>
      <c r="L44" s="201">
        <f>IF($C44,$AD44*1000000+$H44+ROW()/100000,"")</f>
      </c>
      <c r="M44" s="201">
        <f>IF($C44,IF($AD44=9999,"(Sin sprint)",$AD44),"")</f>
      </c>
      <c r="N44" s="201">
        <f>IF($C44,IF('Proyecto Datos (OKR´s)'!$E44="",9999,'Proyecto Datos (OKR´s)'!$E44),"")</f>
      </c>
      <c r="O44" s="201">
        <f>IF($C44,"T"&amp;TEXT(ROW(),"000"),"")</f>
      </c>
      <c r="R44" s="201">
        <f>IF($C44,IF(ISNUMBER('Proyecto Datos (OKR´s)'!$L44),'Proyecto Datos (OKR´s)'!$L44,$H44),"")</f>
      </c>
      <c r="S44" s="201">
        <f>IF($C44,$R44-'Proyecto Datos (OKR´s)'!$K44+1,"")</f>
      </c>
      <c r="T44" s="201">
        <f>IF($C44,MAX(0,TODAY()-'Proyecto Datos (OKR´s)'!$K44),"")</f>
      </c>
      <c r="U44" s="201">
        <f>IF($C44,MEDIAN(0,(TODAY()-'Proyecto Datos (OKR´s)'!$K44)/MAX(1,$R44-'Proyecto Datos (OKR´s)'!$K44),1),"")</f>
      </c>
      <c r="V44" s="201">
        <f>IF($C44,$I44-$U44,"")</f>
      </c>
      <c r="W44" s="201">
        <f>IF($C44,IF($J44="Completado",0,MAX(0,TODAY()-$H44)),"")</f>
      </c>
      <c r="X44" s="201">
        <f>IF($C44,IF(ISNUMBER($H44),$R44-$H44,0),"")</f>
      </c>
      <c r="Y44" s="201">
        <f>IF($C44,COUNTIFS($G$7:$G$200,$G44,$J$7:$J$200,"&lt;&gt;Completado",$J$7:$J$200,"&lt;&gt;"),"")</f>
      </c>
      <c r="Z44" s="201">
        <f>IF($C44,AND($I44=0,'Proyecto Datos (OKR´s)'!$K44&lt;=TODAY(),$J44&lt;&gt;"Completado"),"")</f>
      </c>
      <c r="AA44" s="201">
        <f>IF($C44,ROUND(100*(0.35*$AK44+0.3*$AL44+0.2*$AM44+0.15*MEDIAN(0,($Y44-4)/8,1)),0),"")</f>
      </c>
      <c r="AB44" s="202">
        <f>IF($C44,IF($J44="Completado","—",IF($AA44&gt;=70,"Crítica",IF($AA44&gt;=45,"Alta",IF($AA44&gt;=25,"Media","Baja")))),"")</f>
      </c>
      <c r="AC44" s="202">
        <f>IF($C44,IF(LEN(TRIM($AN44))=0,"—",TRIM($AN44)),"")</f>
      </c>
      <c r="AD44" s="201">
        <f>IF($C44,IF($N44=9999,9999,IF($J44="Completado",$N44,MAX($N44,'Historial de Sprints'!$C$7))),"")</f>
      </c>
      <c r="AE44" s="201">
        <f>IF($C44,IF($AD44=9999,"(Sin sprint)",$AD44),"")</f>
      </c>
      <c r="AF44" s="201">
        <f>IF($C44,AND($N44&lt;&gt;9999,$AD44&lt;&gt;$N44),FALSE)</f>
      </c>
      <c r="AG44" s="201">
        <f>IF($AF44,'Historial de Sprints'!$C$5+$N44*'Historial de Sprints'!$C$6-1,"")</f>
      </c>
      <c r="AH44" s="202">
        <f>IF($AF44,"No completada al cierre del Sprint "&amp;$N44&amp;" -&gt; reasignada al Sprint "&amp;$AD44,"")</f>
      </c>
      <c r="AI44" s="201">
        <f>IF($AF44,$N44*100000+ROW(),"")</f>
      </c>
      <c r="AJ44" s="201">
        <f>IF($C44,$AA44*1000000-MEDIAN(-9999,$K44,9999)*100+(300-ROW()),"")</f>
      </c>
      <c r="AK44" s="201">
        <f>IF($C44,IF($J44="Completado",0,IF($K44&lt;0,1,IF($K44&lt;=3,0.9,IF($K44&lt;=7,0.7,IF($K44&lt;=14,0.45,0.2))))),"")</f>
      </c>
      <c r="AL44" s="201">
        <f>IF($C44,IF($J44="Completado",0,MEDIAN(0,MAX(-$V44,$W44/30),1)),"")</f>
      </c>
      <c r="AM44" s="201">
        <f>IF($C44,IF($J44="Completado",0,IF($Z44,1,IF(AND($I44&lt;0.5,$K44&lt;=7),0.7,0.3))),"")</f>
      </c>
      <c r="AN44" s="202">
        <f>IF($C44,IF(OR($V44&lt;-0.2,$W44&gt;0),"ATRASO ","")&amp;IF($Z44,"BLOQUEO ","")&amp;IF($Y44&gt;8,"SOBRECARGA ","")&amp;IF($X44&gt;0,"DESVÍO-PLAN ",""),"")</f>
      </c>
    </row>
    <row r="45">
      <c r="A45" s="201">
        <f>ROW()</f>
      </c>
      <c r="B45" s="201">
        <f>ISTEXT('Proyecto Datos (OKR´s)'!$K45)</f>
      </c>
      <c r="C45" s="201">
        <f>AND(LEN('Proyecto Datos (OKR´s)'!$G45)&gt;0,NOT($B45),OR(ISNUMBER('Proyecto Datos (OKR´s)'!$F45),ISNUMBER('Proyecto Datos (OKR´s)'!$L45)))</f>
      </c>
      <c r="D45" s="202">
        <f>IF($C45,IFERROR(LOOKUP(2,1/((ISTEXT('Proyecto Datos (OKR´s)'!$K$7:$K45))*(LEN('Proyecto Datos (OKR´s)'!$G$7:$G45)&gt;0)),'Proyecto Datos (OKR´s)'!$G$7:$G45),""),"")</f>
      </c>
      <c r="E45" s="201">
        <f>IF($C45,'Proyecto Datos (OKR´s)'!$E45,"")</f>
      </c>
      <c r="F45" s="202">
        <f>IF($C45,'Proyecto Datos (OKR´s)'!$G45,"")</f>
      </c>
      <c r="G45" s="202">
        <f>IF($C45,IF('Proyecto Datos (OKR´s)'!$I45="","(Sin asignar)",'Proyecto Datos (OKR´s)'!$I45),"")</f>
      </c>
      <c r="H45" s="201">
        <f>IF($C45,IF(ISNUMBER('Proyecto Datos (OKR´s)'!$F45),'Proyecto Datos (OKR´s)'!$F45,'Proyecto Datos (OKR´s)'!$L45),"")</f>
      </c>
      <c r="I45" s="201">
        <f>IF($C45,'Proyecto Datos (OKR´s)'!$J45,"")</f>
      </c>
      <c r="J45" s="202">
        <f>IF($C45,IF($I45&gt;=1,"Completado",IF($H45&lt;TODAY(),"Vencido",IF(($H45-TODAY())&lt;='Entregas Próximas'!$M$3,"Próximo a vencer","En curso"))),"")</f>
      </c>
      <c r="K45" s="201">
        <f>IF($C45,$H45-TODAY(),"")</f>
      </c>
      <c r="L45" s="201">
        <f>IF($C45,$AD45*1000000+$H45+ROW()/100000,"")</f>
      </c>
      <c r="M45" s="201">
        <f>IF($C45,IF($AD45=9999,"(Sin sprint)",$AD45),"")</f>
      </c>
      <c r="N45" s="201">
        <f>IF($C45,IF('Proyecto Datos (OKR´s)'!$E45="",9999,'Proyecto Datos (OKR´s)'!$E45),"")</f>
      </c>
      <c r="O45" s="201">
        <f>IF($C45,"T"&amp;TEXT(ROW(),"000"),"")</f>
      </c>
      <c r="R45" s="201">
        <f>IF($C45,IF(ISNUMBER('Proyecto Datos (OKR´s)'!$L45),'Proyecto Datos (OKR´s)'!$L45,$H45),"")</f>
      </c>
      <c r="S45" s="201">
        <f>IF($C45,$R45-'Proyecto Datos (OKR´s)'!$K45+1,"")</f>
      </c>
      <c r="T45" s="201">
        <f>IF($C45,MAX(0,TODAY()-'Proyecto Datos (OKR´s)'!$K45),"")</f>
      </c>
      <c r="U45" s="201">
        <f>IF($C45,MEDIAN(0,(TODAY()-'Proyecto Datos (OKR´s)'!$K45)/MAX(1,$R45-'Proyecto Datos (OKR´s)'!$K45),1),"")</f>
      </c>
      <c r="V45" s="201">
        <f>IF($C45,$I45-$U45,"")</f>
      </c>
      <c r="W45" s="201">
        <f>IF($C45,IF($J45="Completado",0,MAX(0,TODAY()-$H45)),"")</f>
      </c>
      <c r="X45" s="201">
        <f>IF($C45,IF(ISNUMBER($H45),$R45-$H45,0),"")</f>
      </c>
      <c r="Y45" s="201">
        <f>IF($C45,COUNTIFS($G$7:$G$200,$G45,$J$7:$J$200,"&lt;&gt;Completado",$J$7:$J$200,"&lt;&gt;"),"")</f>
      </c>
      <c r="Z45" s="201">
        <f>IF($C45,AND($I45=0,'Proyecto Datos (OKR´s)'!$K45&lt;=TODAY(),$J45&lt;&gt;"Completado"),"")</f>
      </c>
      <c r="AA45" s="201">
        <f>IF($C45,ROUND(100*(0.35*$AK45+0.3*$AL45+0.2*$AM45+0.15*MEDIAN(0,($Y45-4)/8,1)),0),"")</f>
      </c>
      <c r="AB45" s="202">
        <f>IF($C45,IF($J45="Completado","—",IF($AA45&gt;=70,"Crítica",IF($AA45&gt;=45,"Alta",IF($AA45&gt;=25,"Media","Baja")))),"")</f>
      </c>
      <c r="AC45" s="202">
        <f>IF($C45,IF(LEN(TRIM($AN45))=0,"—",TRIM($AN45)),"")</f>
      </c>
      <c r="AD45" s="201">
        <f>IF($C45,IF($N45=9999,9999,IF($J45="Completado",$N45,MAX($N45,'Historial de Sprints'!$C$7))),"")</f>
      </c>
      <c r="AE45" s="201">
        <f>IF($C45,IF($AD45=9999,"(Sin sprint)",$AD45),"")</f>
      </c>
      <c r="AF45" s="201">
        <f>IF($C45,AND($N45&lt;&gt;9999,$AD45&lt;&gt;$N45),FALSE)</f>
      </c>
      <c r="AG45" s="201">
        <f>IF($AF45,'Historial de Sprints'!$C$5+$N45*'Historial de Sprints'!$C$6-1,"")</f>
      </c>
      <c r="AH45" s="202">
        <f>IF($AF45,"No completada al cierre del Sprint "&amp;$N45&amp;" -&gt; reasignada al Sprint "&amp;$AD45,"")</f>
      </c>
      <c r="AI45" s="201">
        <f>IF($AF45,$N45*100000+ROW(),"")</f>
      </c>
      <c r="AJ45" s="201">
        <f>IF($C45,$AA45*1000000-MEDIAN(-9999,$K45,9999)*100+(300-ROW()),"")</f>
      </c>
      <c r="AK45" s="201">
        <f>IF($C45,IF($J45="Completado",0,IF($K45&lt;0,1,IF($K45&lt;=3,0.9,IF($K45&lt;=7,0.7,IF($K45&lt;=14,0.45,0.2))))),"")</f>
      </c>
      <c r="AL45" s="201">
        <f>IF($C45,IF($J45="Completado",0,MEDIAN(0,MAX(-$V45,$W45/30),1)),"")</f>
      </c>
      <c r="AM45" s="201">
        <f>IF($C45,IF($J45="Completado",0,IF($Z45,1,IF(AND($I45&lt;0.5,$K45&lt;=7),0.7,0.3))),"")</f>
      </c>
      <c r="AN45" s="202">
        <f>IF($C45,IF(OR($V45&lt;-0.2,$W45&gt;0),"ATRASO ","")&amp;IF($Z45,"BLOQUEO ","")&amp;IF($Y45&gt;8,"SOBRECARGA ","")&amp;IF($X45&gt;0,"DESVÍO-PLAN ",""),"")</f>
      </c>
    </row>
    <row r="46">
      <c r="A46" s="201">
        <f>ROW()</f>
      </c>
      <c r="B46" s="201">
        <f>ISTEXT('Proyecto Datos (OKR´s)'!$K46)</f>
      </c>
      <c r="C46" s="201">
        <f>AND(LEN('Proyecto Datos (OKR´s)'!$G46)&gt;0,NOT($B46),OR(ISNUMBER('Proyecto Datos (OKR´s)'!$F46),ISNUMBER('Proyecto Datos (OKR´s)'!$L46)))</f>
      </c>
      <c r="D46" s="202">
        <f>IF($C46,IFERROR(LOOKUP(2,1/((ISTEXT('Proyecto Datos (OKR´s)'!$K$7:$K46))*(LEN('Proyecto Datos (OKR´s)'!$G$7:$G46)&gt;0)),'Proyecto Datos (OKR´s)'!$G$7:$G46),""),"")</f>
      </c>
      <c r="E46" s="201">
        <f>IF($C46,'Proyecto Datos (OKR´s)'!$E46,"")</f>
      </c>
      <c r="F46" s="202">
        <f>IF($C46,'Proyecto Datos (OKR´s)'!$G46,"")</f>
      </c>
      <c r="G46" s="202">
        <f>IF($C46,IF('Proyecto Datos (OKR´s)'!$I46="","(Sin asignar)",'Proyecto Datos (OKR´s)'!$I46),"")</f>
      </c>
      <c r="H46" s="201">
        <f>IF($C46,IF(ISNUMBER('Proyecto Datos (OKR´s)'!$F46),'Proyecto Datos (OKR´s)'!$F46,'Proyecto Datos (OKR´s)'!$L46),"")</f>
      </c>
      <c r="I46" s="201">
        <f>IF($C46,'Proyecto Datos (OKR´s)'!$J46,"")</f>
      </c>
      <c r="J46" s="202">
        <f>IF($C46,IF($I46&gt;=1,"Completado",IF($H46&lt;TODAY(),"Vencido",IF(($H46-TODAY())&lt;='Entregas Próximas'!$M$3,"Próximo a vencer","En curso"))),"")</f>
      </c>
      <c r="K46" s="201">
        <f>IF($C46,$H46-TODAY(),"")</f>
      </c>
      <c r="L46" s="201">
        <f>IF($C46,$AD46*1000000+$H46+ROW()/100000,"")</f>
      </c>
      <c r="M46" s="201">
        <f>IF($C46,IF($AD46=9999,"(Sin sprint)",$AD46),"")</f>
      </c>
      <c r="N46" s="201">
        <f>IF($C46,IF('Proyecto Datos (OKR´s)'!$E46="",9999,'Proyecto Datos (OKR´s)'!$E46),"")</f>
      </c>
      <c r="O46" s="201">
        <f>IF($C46,"T"&amp;TEXT(ROW(),"000"),"")</f>
      </c>
      <c r="R46" s="201">
        <f>IF($C46,IF(ISNUMBER('Proyecto Datos (OKR´s)'!$L46),'Proyecto Datos (OKR´s)'!$L46,$H46),"")</f>
      </c>
      <c r="S46" s="201">
        <f>IF($C46,$R46-'Proyecto Datos (OKR´s)'!$K46+1,"")</f>
      </c>
      <c r="T46" s="201">
        <f>IF($C46,MAX(0,TODAY()-'Proyecto Datos (OKR´s)'!$K46),"")</f>
      </c>
      <c r="U46" s="201">
        <f>IF($C46,MEDIAN(0,(TODAY()-'Proyecto Datos (OKR´s)'!$K46)/MAX(1,$R46-'Proyecto Datos (OKR´s)'!$K46),1),"")</f>
      </c>
      <c r="V46" s="201">
        <f>IF($C46,$I46-$U46,"")</f>
      </c>
      <c r="W46" s="201">
        <f>IF($C46,IF($J46="Completado",0,MAX(0,TODAY()-$H46)),"")</f>
      </c>
      <c r="X46" s="201">
        <f>IF($C46,IF(ISNUMBER($H46),$R46-$H46,0),"")</f>
      </c>
      <c r="Y46" s="201">
        <f>IF($C46,COUNTIFS($G$7:$G$200,$G46,$J$7:$J$200,"&lt;&gt;Completado",$J$7:$J$200,"&lt;&gt;"),"")</f>
      </c>
      <c r="Z46" s="201">
        <f>IF($C46,AND($I46=0,'Proyecto Datos (OKR´s)'!$K46&lt;=TODAY(),$J46&lt;&gt;"Completado"),"")</f>
      </c>
      <c r="AA46" s="201">
        <f>IF($C46,ROUND(100*(0.35*$AK46+0.3*$AL46+0.2*$AM46+0.15*MEDIAN(0,($Y46-4)/8,1)),0),"")</f>
      </c>
      <c r="AB46" s="202">
        <f>IF($C46,IF($J46="Completado","—",IF($AA46&gt;=70,"Crítica",IF($AA46&gt;=45,"Alta",IF($AA46&gt;=25,"Media","Baja")))),"")</f>
      </c>
      <c r="AC46" s="202">
        <f>IF($C46,IF(LEN(TRIM($AN46))=0,"—",TRIM($AN46)),"")</f>
      </c>
      <c r="AD46" s="201">
        <f>IF($C46,IF($N46=9999,9999,IF($J46="Completado",$N46,MAX($N46,'Historial de Sprints'!$C$7))),"")</f>
      </c>
      <c r="AE46" s="201">
        <f>IF($C46,IF($AD46=9999,"(Sin sprint)",$AD46),"")</f>
      </c>
      <c r="AF46" s="201">
        <f>IF($C46,AND($N46&lt;&gt;9999,$AD46&lt;&gt;$N46),FALSE)</f>
      </c>
      <c r="AG46" s="201">
        <f>IF($AF46,'Historial de Sprints'!$C$5+$N46*'Historial de Sprints'!$C$6-1,"")</f>
      </c>
      <c r="AH46" s="202">
        <f>IF($AF46,"No completada al cierre del Sprint "&amp;$N46&amp;" -&gt; reasignada al Sprint "&amp;$AD46,"")</f>
      </c>
      <c r="AI46" s="201">
        <f>IF($AF46,$N46*100000+ROW(),"")</f>
      </c>
      <c r="AJ46" s="201">
        <f>IF($C46,$AA46*1000000-MEDIAN(-9999,$K46,9999)*100+(300-ROW()),"")</f>
      </c>
      <c r="AK46" s="201">
        <f>IF($C46,IF($J46="Completado",0,IF($K46&lt;0,1,IF($K46&lt;=3,0.9,IF($K46&lt;=7,0.7,IF($K46&lt;=14,0.45,0.2))))),"")</f>
      </c>
      <c r="AL46" s="201">
        <f>IF($C46,IF($J46="Completado",0,MEDIAN(0,MAX(-$V46,$W46/30),1)),"")</f>
      </c>
      <c r="AM46" s="201">
        <f>IF($C46,IF($J46="Completado",0,IF($Z46,1,IF(AND($I46&lt;0.5,$K46&lt;=7),0.7,0.3))),"")</f>
      </c>
      <c r="AN46" s="202">
        <f>IF($C46,IF(OR($V46&lt;-0.2,$W46&gt;0),"ATRASO ","")&amp;IF($Z46,"BLOQUEO ","")&amp;IF($Y46&gt;8,"SOBRECARGA ","")&amp;IF($X46&gt;0,"DESVÍO-PLAN ",""),"")</f>
      </c>
    </row>
    <row r="47">
      <c r="A47" s="201">
        <f>ROW()</f>
      </c>
      <c r="B47" s="201">
        <f>ISTEXT('Proyecto Datos (OKR´s)'!$K47)</f>
      </c>
      <c r="C47" s="201">
        <f>AND(LEN('Proyecto Datos (OKR´s)'!$G47)&gt;0,NOT($B47),OR(ISNUMBER('Proyecto Datos (OKR´s)'!$F47),ISNUMBER('Proyecto Datos (OKR´s)'!$L47)))</f>
      </c>
      <c r="D47" s="202">
        <f>IF($C47,IFERROR(LOOKUP(2,1/((ISTEXT('Proyecto Datos (OKR´s)'!$K$7:$K47))*(LEN('Proyecto Datos (OKR´s)'!$G$7:$G47)&gt;0)),'Proyecto Datos (OKR´s)'!$G$7:$G47),""),"")</f>
      </c>
      <c r="E47" s="201">
        <f>IF($C47,'Proyecto Datos (OKR´s)'!$E47,"")</f>
      </c>
      <c r="F47" s="202">
        <f>IF($C47,'Proyecto Datos (OKR´s)'!$G47,"")</f>
      </c>
      <c r="G47" s="202">
        <f>IF($C47,IF('Proyecto Datos (OKR´s)'!$I47="","(Sin asignar)",'Proyecto Datos (OKR´s)'!$I47),"")</f>
      </c>
      <c r="H47" s="201">
        <f>IF($C47,IF(ISNUMBER('Proyecto Datos (OKR´s)'!$F47),'Proyecto Datos (OKR´s)'!$F47,'Proyecto Datos (OKR´s)'!$L47),"")</f>
      </c>
      <c r="I47" s="201">
        <f>IF($C47,'Proyecto Datos (OKR´s)'!$J47,"")</f>
      </c>
      <c r="J47" s="202">
        <f>IF($C47,IF($I47&gt;=1,"Completado",IF($H47&lt;TODAY(),"Vencido",IF(($H47-TODAY())&lt;='Entregas Próximas'!$M$3,"Próximo a vencer","En curso"))),"")</f>
      </c>
      <c r="K47" s="201">
        <f>IF($C47,$H47-TODAY(),"")</f>
      </c>
      <c r="L47" s="201">
        <f>IF($C47,$AD47*1000000+$H47+ROW()/100000,"")</f>
      </c>
      <c r="M47" s="201">
        <f>IF($C47,IF($AD47=9999,"(Sin sprint)",$AD47),"")</f>
      </c>
      <c r="N47" s="201">
        <f>IF($C47,IF('Proyecto Datos (OKR´s)'!$E47="",9999,'Proyecto Datos (OKR´s)'!$E47),"")</f>
      </c>
      <c r="O47" s="201">
        <f>IF($C47,"T"&amp;TEXT(ROW(),"000"),"")</f>
      </c>
      <c r="R47" s="201">
        <f>IF($C47,IF(ISNUMBER('Proyecto Datos (OKR´s)'!$L47),'Proyecto Datos (OKR´s)'!$L47,$H47),"")</f>
      </c>
      <c r="S47" s="201">
        <f>IF($C47,$R47-'Proyecto Datos (OKR´s)'!$K47+1,"")</f>
      </c>
      <c r="T47" s="201">
        <f>IF($C47,MAX(0,TODAY()-'Proyecto Datos (OKR´s)'!$K47),"")</f>
      </c>
      <c r="U47" s="201">
        <f>IF($C47,MEDIAN(0,(TODAY()-'Proyecto Datos (OKR´s)'!$K47)/MAX(1,$R47-'Proyecto Datos (OKR´s)'!$K47),1),"")</f>
      </c>
      <c r="V47" s="201">
        <f>IF($C47,$I47-$U47,"")</f>
      </c>
      <c r="W47" s="201">
        <f>IF($C47,IF($J47="Completado",0,MAX(0,TODAY()-$H47)),"")</f>
      </c>
      <c r="X47" s="201">
        <f>IF($C47,IF(ISNUMBER($H47),$R47-$H47,0),"")</f>
      </c>
      <c r="Y47" s="201">
        <f>IF($C47,COUNTIFS($G$7:$G$200,$G47,$J$7:$J$200,"&lt;&gt;Completado",$J$7:$J$200,"&lt;&gt;"),"")</f>
      </c>
      <c r="Z47" s="201">
        <f>IF($C47,AND($I47=0,'Proyecto Datos (OKR´s)'!$K47&lt;=TODAY(),$J47&lt;&gt;"Completado"),"")</f>
      </c>
      <c r="AA47" s="201">
        <f>IF($C47,ROUND(100*(0.35*$AK47+0.3*$AL47+0.2*$AM47+0.15*MEDIAN(0,($Y47-4)/8,1)),0),"")</f>
      </c>
      <c r="AB47" s="202">
        <f>IF($C47,IF($J47="Completado","—",IF($AA47&gt;=70,"Crítica",IF($AA47&gt;=45,"Alta",IF($AA47&gt;=25,"Media","Baja")))),"")</f>
      </c>
      <c r="AC47" s="202">
        <f>IF($C47,IF(LEN(TRIM($AN47))=0,"—",TRIM($AN47)),"")</f>
      </c>
      <c r="AD47" s="201">
        <f>IF($C47,IF($N47=9999,9999,IF($J47="Completado",$N47,MAX($N47,'Historial de Sprints'!$C$7))),"")</f>
      </c>
      <c r="AE47" s="201">
        <f>IF($C47,IF($AD47=9999,"(Sin sprint)",$AD47),"")</f>
      </c>
      <c r="AF47" s="201">
        <f>IF($C47,AND($N47&lt;&gt;9999,$AD47&lt;&gt;$N47),FALSE)</f>
      </c>
      <c r="AG47" s="201">
        <f>IF($AF47,'Historial de Sprints'!$C$5+$N47*'Historial de Sprints'!$C$6-1,"")</f>
      </c>
      <c r="AH47" s="202">
        <f>IF($AF47,"No completada al cierre del Sprint "&amp;$N47&amp;" -&gt; reasignada al Sprint "&amp;$AD47,"")</f>
      </c>
      <c r="AI47" s="201">
        <f>IF($AF47,$N47*100000+ROW(),"")</f>
      </c>
      <c r="AJ47" s="201">
        <f>IF($C47,$AA47*1000000-MEDIAN(-9999,$K47,9999)*100+(300-ROW()),"")</f>
      </c>
      <c r="AK47" s="201">
        <f>IF($C47,IF($J47="Completado",0,IF($K47&lt;0,1,IF($K47&lt;=3,0.9,IF($K47&lt;=7,0.7,IF($K47&lt;=14,0.45,0.2))))),"")</f>
      </c>
      <c r="AL47" s="201">
        <f>IF($C47,IF($J47="Completado",0,MEDIAN(0,MAX(-$V47,$W47/30),1)),"")</f>
      </c>
      <c r="AM47" s="201">
        <f>IF($C47,IF($J47="Completado",0,IF($Z47,1,IF(AND($I47&lt;0.5,$K47&lt;=7),0.7,0.3))),"")</f>
      </c>
      <c r="AN47" s="202">
        <f>IF($C47,IF(OR($V47&lt;-0.2,$W47&gt;0),"ATRASO ","")&amp;IF($Z47,"BLOQUEO ","")&amp;IF($Y47&gt;8,"SOBRECARGA ","")&amp;IF($X47&gt;0,"DESVÍO-PLAN ",""),"")</f>
      </c>
    </row>
    <row r="48">
      <c r="A48" s="201">
        <f>ROW()</f>
      </c>
      <c r="B48" s="201">
        <f>ISTEXT('Proyecto Datos (OKR´s)'!$K48)</f>
      </c>
      <c r="C48" s="201">
        <f>AND(LEN('Proyecto Datos (OKR´s)'!$G48)&gt;0,NOT($B48),OR(ISNUMBER('Proyecto Datos (OKR´s)'!$F48),ISNUMBER('Proyecto Datos (OKR´s)'!$L48)))</f>
      </c>
      <c r="D48" s="202">
        <f>IF($C48,IFERROR(LOOKUP(2,1/((ISTEXT('Proyecto Datos (OKR´s)'!$K$7:$K48))*(LEN('Proyecto Datos (OKR´s)'!$G$7:$G48)&gt;0)),'Proyecto Datos (OKR´s)'!$G$7:$G48),""),"")</f>
      </c>
      <c r="E48" s="201">
        <f>IF($C48,'Proyecto Datos (OKR´s)'!$E48,"")</f>
      </c>
      <c r="F48" s="202">
        <f>IF($C48,'Proyecto Datos (OKR´s)'!$G48,"")</f>
      </c>
      <c r="G48" s="202">
        <f>IF($C48,IF('Proyecto Datos (OKR´s)'!$I48="","(Sin asignar)",'Proyecto Datos (OKR´s)'!$I48),"")</f>
      </c>
      <c r="H48" s="201">
        <f>IF($C48,IF(ISNUMBER('Proyecto Datos (OKR´s)'!$F48),'Proyecto Datos (OKR´s)'!$F48,'Proyecto Datos (OKR´s)'!$L48),"")</f>
      </c>
      <c r="I48" s="201">
        <f>IF($C48,'Proyecto Datos (OKR´s)'!$J48,"")</f>
      </c>
      <c r="J48" s="202">
        <f>IF($C48,IF($I48&gt;=1,"Completado",IF($H48&lt;TODAY(),"Vencido",IF(($H48-TODAY())&lt;='Entregas Próximas'!$M$3,"Próximo a vencer","En curso"))),"")</f>
      </c>
      <c r="K48" s="201">
        <f>IF($C48,$H48-TODAY(),"")</f>
      </c>
      <c r="L48" s="201">
        <f>IF($C48,$AD48*1000000+$H48+ROW()/100000,"")</f>
      </c>
      <c r="M48" s="201">
        <f>IF($C48,IF($AD48=9999,"(Sin sprint)",$AD48),"")</f>
      </c>
      <c r="N48" s="201">
        <f>IF($C48,IF('Proyecto Datos (OKR´s)'!$E48="",9999,'Proyecto Datos (OKR´s)'!$E48),"")</f>
      </c>
      <c r="O48" s="201">
        <f>IF($C48,"T"&amp;TEXT(ROW(),"000"),"")</f>
      </c>
      <c r="R48" s="201">
        <f>IF($C48,IF(ISNUMBER('Proyecto Datos (OKR´s)'!$L48),'Proyecto Datos (OKR´s)'!$L48,$H48),"")</f>
      </c>
      <c r="S48" s="201">
        <f>IF($C48,$R48-'Proyecto Datos (OKR´s)'!$K48+1,"")</f>
      </c>
      <c r="T48" s="201">
        <f>IF($C48,MAX(0,TODAY()-'Proyecto Datos (OKR´s)'!$K48),"")</f>
      </c>
      <c r="U48" s="201">
        <f>IF($C48,MEDIAN(0,(TODAY()-'Proyecto Datos (OKR´s)'!$K48)/MAX(1,$R48-'Proyecto Datos (OKR´s)'!$K48),1),"")</f>
      </c>
      <c r="V48" s="201">
        <f>IF($C48,$I48-$U48,"")</f>
      </c>
      <c r="W48" s="201">
        <f>IF($C48,IF($J48="Completado",0,MAX(0,TODAY()-$H48)),"")</f>
      </c>
      <c r="X48" s="201">
        <f>IF($C48,IF(ISNUMBER($H48),$R48-$H48,0),"")</f>
      </c>
      <c r="Y48" s="201">
        <f>IF($C48,COUNTIFS($G$7:$G$200,$G48,$J$7:$J$200,"&lt;&gt;Completado",$J$7:$J$200,"&lt;&gt;"),"")</f>
      </c>
      <c r="Z48" s="201">
        <f>IF($C48,AND($I48=0,'Proyecto Datos (OKR´s)'!$K48&lt;=TODAY(),$J48&lt;&gt;"Completado"),"")</f>
      </c>
      <c r="AA48" s="201">
        <f>IF($C48,ROUND(100*(0.35*$AK48+0.3*$AL48+0.2*$AM48+0.15*MEDIAN(0,($Y48-4)/8,1)),0),"")</f>
      </c>
      <c r="AB48" s="202">
        <f>IF($C48,IF($J48="Completado","—",IF($AA48&gt;=70,"Crítica",IF($AA48&gt;=45,"Alta",IF($AA48&gt;=25,"Media","Baja")))),"")</f>
      </c>
      <c r="AC48" s="202">
        <f>IF($C48,IF(LEN(TRIM($AN48))=0,"—",TRIM($AN48)),"")</f>
      </c>
      <c r="AD48" s="201">
        <f>IF($C48,IF($N48=9999,9999,IF($J48="Completado",$N48,MAX($N48,'Historial de Sprints'!$C$7))),"")</f>
      </c>
      <c r="AE48" s="201">
        <f>IF($C48,IF($AD48=9999,"(Sin sprint)",$AD48),"")</f>
      </c>
      <c r="AF48" s="201">
        <f>IF($C48,AND($N48&lt;&gt;9999,$AD48&lt;&gt;$N48),FALSE)</f>
      </c>
      <c r="AG48" s="201">
        <f>IF($AF48,'Historial de Sprints'!$C$5+$N48*'Historial de Sprints'!$C$6-1,"")</f>
      </c>
      <c r="AH48" s="202">
        <f>IF($AF48,"No completada al cierre del Sprint "&amp;$N48&amp;" -&gt; reasignada al Sprint "&amp;$AD48,"")</f>
      </c>
      <c r="AI48" s="201">
        <f>IF($AF48,$N48*100000+ROW(),"")</f>
      </c>
      <c r="AJ48" s="201">
        <f>IF($C48,$AA48*1000000-MEDIAN(-9999,$K48,9999)*100+(300-ROW()),"")</f>
      </c>
      <c r="AK48" s="201">
        <f>IF($C48,IF($J48="Completado",0,IF($K48&lt;0,1,IF($K48&lt;=3,0.9,IF($K48&lt;=7,0.7,IF($K48&lt;=14,0.45,0.2))))),"")</f>
      </c>
      <c r="AL48" s="201">
        <f>IF($C48,IF($J48="Completado",0,MEDIAN(0,MAX(-$V48,$W48/30),1)),"")</f>
      </c>
      <c r="AM48" s="201">
        <f>IF($C48,IF($J48="Completado",0,IF($Z48,1,IF(AND($I48&lt;0.5,$K48&lt;=7),0.7,0.3))),"")</f>
      </c>
      <c r="AN48" s="202">
        <f>IF($C48,IF(OR($V48&lt;-0.2,$W48&gt;0),"ATRASO ","")&amp;IF($Z48,"BLOQUEO ","")&amp;IF($Y48&gt;8,"SOBRECARGA ","")&amp;IF($X48&gt;0,"DESVÍO-PLAN ",""),"")</f>
      </c>
    </row>
    <row r="49">
      <c r="A49" s="201">
        <f>ROW()</f>
      </c>
      <c r="B49" s="201">
        <f>ISTEXT('Proyecto Datos (OKR´s)'!$K49)</f>
      </c>
      <c r="C49" s="201">
        <f>AND(LEN('Proyecto Datos (OKR´s)'!$G49)&gt;0,NOT($B49),OR(ISNUMBER('Proyecto Datos (OKR´s)'!$F49),ISNUMBER('Proyecto Datos (OKR´s)'!$L49)))</f>
      </c>
      <c r="D49" s="202">
        <f>IF($C49,IFERROR(LOOKUP(2,1/((ISTEXT('Proyecto Datos (OKR´s)'!$K$7:$K49))*(LEN('Proyecto Datos (OKR´s)'!$G$7:$G49)&gt;0)),'Proyecto Datos (OKR´s)'!$G$7:$G49),""),"")</f>
      </c>
      <c r="E49" s="201">
        <f>IF($C49,'Proyecto Datos (OKR´s)'!$E49,"")</f>
      </c>
      <c r="F49" s="202">
        <f>IF($C49,'Proyecto Datos (OKR´s)'!$G49,"")</f>
      </c>
      <c r="G49" s="202">
        <f>IF($C49,IF('Proyecto Datos (OKR´s)'!$I49="","(Sin asignar)",'Proyecto Datos (OKR´s)'!$I49),"")</f>
      </c>
      <c r="H49" s="201">
        <f>IF($C49,IF(ISNUMBER('Proyecto Datos (OKR´s)'!$F49),'Proyecto Datos (OKR´s)'!$F49,'Proyecto Datos (OKR´s)'!$L49),"")</f>
      </c>
      <c r="I49" s="201">
        <f>IF($C49,'Proyecto Datos (OKR´s)'!$J49,"")</f>
      </c>
      <c r="J49" s="202">
        <f>IF($C49,IF($I49&gt;=1,"Completado",IF($H49&lt;TODAY(),"Vencido",IF(($H49-TODAY())&lt;='Entregas Próximas'!$M$3,"Próximo a vencer","En curso"))),"")</f>
      </c>
      <c r="K49" s="201">
        <f>IF($C49,$H49-TODAY(),"")</f>
      </c>
      <c r="L49" s="201">
        <f>IF($C49,$AD49*1000000+$H49+ROW()/100000,"")</f>
      </c>
      <c r="M49" s="201">
        <f>IF($C49,IF($AD49=9999,"(Sin sprint)",$AD49),"")</f>
      </c>
      <c r="N49" s="201">
        <f>IF($C49,IF('Proyecto Datos (OKR´s)'!$E49="",9999,'Proyecto Datos (OKR´s)'!$E49),"")</f>
      </c>
      <c r="O49" s="201">
        <f>IF($C49,"T"&amp;TEXT(ROW(),"000"),"")</f>
      </c>
      <c r="R49" s="201">
        <f>IF($C49,IF(ISNUMBER('Proyecto Datos (OKR´s)'!$L49),'Proyecto Datos (OKR´s)'!$L49,$H49),"")</f>
      </c>
      <c r="S49" s="201">
        <f>IF($C49,$R49-'Proyecto Datos (OKR´s)'!$K49+1,"")</f>
      </c>
      <c r="T49" s="201">
        <f>IF($C49,MAX(0,TODAY()-'Proyecto Datos (OKR´s)'!$K49),"")</f>
      </c>
      <c r="U49" s="201">
        <f>IF($C49,MEDIAN(0,(TODAY()-'Proyecto Datos (OKR´s)'!$K49)/MAX(1,$R49-'Proyecto Datos (OKR´s)'!$K49),1),"")</f>
      </c>
      <c r="V49" s="201">
        <f>IF($C49,$I49-$U49,"")</f>
      </c>
      <c r="W49" s="201">
        <f>IF($C49,IF($J49="Completado",0,MAX(0,TODAY()-$H49)),"")</f>
      </c>
      <c r="X49" s="201">
        <f>IF($C49,IF(ISNUMBER($H49),$R49-$H49,0),"")</f>
      </c>
      <c r="Y49" s="201">
        <f>IF($C49,COUNTIFS($G$7:$G$200,$G49,$J$7:$J$200,"&lt;&gt;Completado",$J$7:$J$200,"&lt;&gt;"),"")</f>
      </c>
      <c r="Z49" s="201">
        <f>IF($C49,AND($I49=0,'Proyecto Datos (OKR´s)'!$K49&lt;=TODAY(),$J49&lt;&gt;"Completado"),"")</f>
      </c>
      <c r="AA49" s="201">
        <f>IF($C49,ROUND(100*(0.35*$AK49+0.3*$AL49+0.2*$AM49+0.15*MEDIAN(0,($Y49-4)/8,1)),0),"")</f>
      </c>
      <c r="AB49" s="202">
        <f>IF($C49,IF($J49="Completado","—",IF($AA49&gt;=70,"Crítica",IF($AA49&gt;=45,"Alta",IF($AA49&gt;=25,"Media","Baja")))),"")</f>
      </c>
      <c r="AC49" s="202">
        <f>IF($C49,IF(LEN(TRIM($AN49))=0,"—",TRIM($AN49)),"")</f>
      </c>
      <c r="AD49" s="201">
        <f>IF($C49,IF($N49=9999,9999,IF($J49="Completado",$N49,MAX($N49,'Historial de Sprints'!$C$7))),"")</f>
      </c>
      <c r="AE49" s="201">
        <f>IF($C49,IF($AD49=9999,"(Sin sprint)",$AD49),"")</f>
      </c>
      <c r="AF49" s="201">
        <f>IF($C49,AND($N49&lt;&gt;9999,$AD49&lt;&gt;$N49),FALSE)</f>
      </c>
      <c r="AG49" s="201">
        <f>IF($AF49,'Historial de Sprints'!$C$5+$N49*'Historial de Sprints'!$C$6-1,"")</f>
      </c>
      <c r="AH49" s="202">
        <f>IF($AF49,"No completada al cierre del Sprint "&amp;$N49&amp;" -&gt; reasignada al Sprint "&amp;$AD49,"")</f>
      </c>
      <c r="AI49" s="201">
        <f>IF($AF49,$N49*100000+ROW(),"")</f>
      </c>
      <c r="AJ49" s="201">
        <f>IF($C49,$AA49*1000000-MEDIAN(-9999,$K49,9999)*100+(300-ROW()),"")</f>
      </c>
      <c r="AK49" s="201">
        <f>IF($C49,IF($J49="Completado",0,IF($K49&lt;0,1,IF($K49&lt;=3,0.9,IF($K49&lt;=7,0.7,IF($K49&lt;=14,0.45,0.2))))),"")</f>
      </c>
      <c r="AL49" s="201">
        <f>IF($C49,IF($J49="Completado",0,MEDIAN(0,MAX(-$V49,$W49/30),1)),"")</f>
      </c>
      <c r="AM49" s="201">
        <f>IF($C49,IF($J49="Completado",0,IF($Z49,1,IF(AND($I49&lt;0.5,$K49&lt;=7),0.7,0.3))),"")</f>
      </c>
      <c r="AN49" s="202">
        <f>IF($C49,IF(OR($V49&lt;-0.2,$W49&gt;0),"ATRASO ","")&amp;IF($Z49,"BLOQUEO ","")&amp;IF($Y49&gt;8,"SOBRECARGA ","")&amp;IF($X49&gt;0,"DESVÍO-PLAN ",""),"")</f>
      </c>
    </row>
    <row r="50">
      <c r="A50" s="201">
        <f>ROW()</f>
      </c>
      <c r="B50" s="201">
        <f>ISTEXT('Proyecto Datos (OKR´s)'!$K50)</f>
      </c>
      <c r="C50" s="201">
        <f>AND(LEN('Proyecto Datos (OKR´s)'!$G50)&gt;0,NOT($B50),OR(ISNUMBER('Proyecto Datos (OKR´s)'!$F50),ISNUMBER('Proyecto Datos (OKR´s)'!$L50)))</f>
      </c>
      <c r="D50" s="202">
        <f>IF($C50,IFERROR(LOOKUP(2,1/((ISTEXT('Proyecto Datos (OKR´s)'!$K$7:$K50))*(LEN('Proyecto Datos (OKR´s)'!$G$7:$G50)&gt;0)),'Proyecto Datos (OKR´s)'!$G$7:$G50),""),"")</f>
      </c>
      <c r="E50" s="201">
        <f>IF($C50,'Proyecto Datos (OKR´s)'!$E50,"")</f>
      </c>
      <c r="F50" s="202">
        <f>IF($C50,'Proyecto Datos (OKR´s)'!$G50,"")</f>
      </c>
      <c r="G50" s="202">
        <f>IF($C50,IF('Proyecto Datos (OKR´s)'!$I50="","(Sin asignar)",'Proyecto Datos (OKR´s)'!$I50),"")</f>
      </c>
      <c r="H50" s="201">
        <f>IF($C50,IF(ISNUMBER('Proyecto Datos (OKR´s)'!$F50),'Proyecto Datos (OKR´s)'!$F50,'Proyecto Datos (OKR´s)'!$L50),"")</f>
      </c>
      <c r="I50" s="201">
        <f>IF($C50,'Proyecto Datos (OKR´s)'!$J50,"")</f>
      </c>
      <c r="J50" s="202">
        <f>IF($C50,IF($I50&gt;=1,"Completado",IF($H50&lt;TODAY(),"Vencido",IF(($H50-TODAY())&lt;='Entregas Próximas'!$M$3,"Próximo a vencer","En curso"))),"")</f>
      </c>
      <c r="K50" s="201">
        <f>IF($C50,$H50-TODAY(),"")</f>
      </c>
      <c r="L50" s="201">
        <f>IF($C50,$AD50*1000000+$H50+ROW()/100000,"")</f>
      </c>
      <c r="M50" s="201">
        <f>IF($C50,IF($AD50=9999,"(Sin sprint)",$AD50),"")</f>
      </c>
      <c r="N50" s="201">
        <f>IF($C50,IF('Proyecto Datos (OKR´s)'!$E50="",9999,'Proyecto Datos (OKR´s)'!$E50),"")</f>
      </c>
      <c r="O50" s="201">
        <f>IF($C50,"T"&amp;TEXT(ROW(),"000"),"")</f>
      </c>
      <c r="R50" s="201">
        <f>IF($C50,IF(ISNUMBER('Proyecto Datos (OKR´s)'!$L50),'Proyecto Datos (OKR´s)'!$L50,$H50),"")</f>
      </c>
      <c r="S50" s="201">
        <f>IF($C50,$R50-'Proyecto Datos (OKR´s)'!$K50+1,"")</f>
      </c>
      <c r="T50" s="201">
        <f>IF($C50,MAX(0,TODAY()-'Proyecto Datos (OKR´s)'!$K50),"")</f>
      </c>
      <c r="U50" s="201">
        <f>IF($C50,MEDIAN(0,(TODAY()-'Proyecto Datos (OKR´s)'!$K50)/MAX(1,$R50-'Proyecto Datos (OKR´s)'!$K50),1),"")</f>
      </c>
      <c r="V50" s="201">
        <f>IF($C50,$I50-$U50,"")</f>
      </c>
      <c r="W50" s="201">
        <f>IF($C50,IF($J50="Completado",0,MAX(0,TODAY()-$H50)),"")</f>
      </c>
      <c r="X50" s="201">
        <f>IF($C50,IF(ISNUMBER($H50),$R50-$H50,0),"")</f>
      </c>
      <c r="Y50" s="201">
        <f>IF($C50,COUNTIFS($G$7:$G$200,$G50,$J$7:$J$200,"&lt;&gt;Completado",$J$7:$J$200,"&lt;&gt;"),"")</f>
      </c>
      <c r="Z50" s="201">
        <f>IF($C50,AND($I50=0,'Proyecto Datos (OKR´s)'!$K50&lt;=TODAY(),$J50&lt;&gt;"Completado"),"")</f>
      </c>
      <c r="AA50" s="201">
        <f>IF($C50,ROUND(100*(0.35*$AK50+0.3*$AL50+0.2*$AM50+0.15*MEDIAN(0,($Y50-4)/8,1)),0),"")</f>
      </c>
      <c r="AB50" s="202">
        <f>IF($C50,IF($J50="Completado","—",IF($AA50&gt;=70,"Crítica",IF($AA50&gt;=45,"Alta",IF($AA50&gt;=25,"Media","Baja")))),"")</f>
      </c>
      <c r="AC50" s="202">
        <f>IF($C50,IF(LEN(TRIM($AN50))=0,"—",TRIM($AN50)),"")</f>
      </c>
      <c r="AD50" s="201">
        <f>IF($C50,IF($N50=9999,9999,IF($J50="Completado",$N50,MAX($N50,'Historial de Sprints'!$C$7))),"")</f>
      </c>
      <c r="AE50" s="201">
        <f>IF($C50,IF($AD50=9999,"(Sin sprint)",$AD50),"")</f>
      </c>
      <c r="AF50" s="201">
        <f>IF($C50,AND($N50&lt;&gt;9999,$AD50&lt;&gt;$N50),FALSE)</f>
      </c>
      <c r="AG50" s="201">
        <f>IF($AF50,'Historial de Sprints'!$C$5+$N50*'Historial de Sprints'!$C$6-1,"")</f>
      </c>
      <c r="AH50" s="202">
        <f>IF($AF50,"No completada al cierre del Sprint "&amp;$N50&amp;" -&gt; reasignada al Sprint "&amp;$AD50,"")</f>
      </c>
      <c r="AI50" s="201">
        <f>IF($AF50,$N50*100000+ROW(),"")</f>
      </c>
      <c r="AJ50" s="201">
        <f>IF($C50,$AA50*1000000-MEDIAN(-9999,$K50,9999)*100+(300-ROW()),"")</f>
      </c>
      <c r="AK50" s="201">
        <f>IF($C50,IF($J50="Completado",0,IF($K50&lt;0,1,IF($K50&lt;=3,0.9,IF($K50&lt;=7,0.7,IF($K50&lt;=14,0.45,0.2))))),"")</f>
      </c>
      <c r="AL50" s="201">
        <f>IF($C50,IF($J50="Completado",0,MEDIAN(0,MAX(-$V50,$W50/30),1)),"")</f>
      </c>
      <c r="AM50" s="201">
        <f>IF($C50,IF($J50="Completado",0,IF($Z50,1,IF(AND($I50&lt;0.5,$K50&lt;=7),0.7,0.3))),"")</f>
      </c>
      <c r="AN50" s="202">
        <f>IF($C50,IF(OR($V50&lt;-0.2,$W50&gt;0),"ATRASO ","")&amp;IF($Z50,"BLOQUEO ","")&amp;IF($Y50&gt;8,"SOBRECARGA ","")&amp;IF($X50&gt;0,"DESVÍO-PLAN ",""),"")</f>
      </c>
    </row>
    <row r="51">
      <c r="A51" s="201">
        <f>ROW()</f>
      </c>
      <c r="B51" s="201">
        <f>ISTEXT('Proyecto Datos (OKR´s)'!$K51)</f>
      </c>
      <c r="C51" s="201">
        <f>AND(LEN('Proyecto Datos (OKR´s)'!$G51)&gt;0,NOT($B51),OR(ISNUMBER('Proyecto Datos (OKR´s)'!$F51),ISNUMBER('Proyecto Datos (OKR´s)'!$L51)))</f>
      </c>
      <c r="D51" s="202">
        <f>IF($C51,IFERROR(LOOKUP(2,1/((ISTEXT('Proyecto Datos (OKR´s)'!$K$7:$K51))*(LEN('Proyecto Datos (OKR´s)'!$G$7:$G51)&gt;0)),'Proyecto Datos (OKR´s)'!$G$7:$G51),""),"")</f>
      </c>
      <c r="E51" s="201">
        <f>IF($C51,'Proyecto Datos (OKR´s)'!$E51,"")</f>
      </c>
      <c r="F51" s="202">
        <f>IF($C51,'Proyecto Datos (OKR´s)'!$G51,"")</f>
      </c>
      <c r="G51" s="202">
        <f>IF($C51,IF('Proyecto Datos (OKR´s)'!$I51="","(Sin asignar)",'Proyecto Datos (OKR´s)'!$I51),"")</f>
      </c>
      <c r="H51" s="201">
        <f>IF($C51,IF(ISNUMBER('Proyecto Datos (OKR´s)'!$F51),'Proyecto Datos (OKR´s)'!$F51,'Proyecto Datos (OKR´s)'!$L51),"")</f>
      </c>
      <c r="I51" s="201">
        <f>IF($C51,'Proyecto Datos (OKR´s)'!$J51,"")</f>
      </c>
      <c r="J51" s="202">
        <f>IF($C51,IF($I51&gt;=1,"Completado",IF($H51&lt;TODAY(),"Vencido",IF(($H51-TODAY())&lt;='Entregas Próximas'!$M$3,"Próximo a vencer","En curso"))),"")</f>
      </c>
      <c r="K51" s="201">
        <f>IF($C51,$H51-TODAY(),"")</f>
      </c>
      <c r="L51" s="201">
        <f>IF($C51,$AD51*1000000+$H51+ROW()/100000,"")</f>
      </c>
      <c r="M51" s="201">
        <f>IF($C51,IF($AD51=9999,"(Sin sprint)",$AD51),"")</f>
      </c>
      <c r="N51" s="201">
        <f>IF($C51,IF('Proyecto Datos (OKR´s)'!$E51="",9999,'Proyecto Datos (OKR´s)'!$E51),"")</f>
      </c>
      <c r="O51" s="201">
        <f>IF($C51,"T"&amp;TEXT(ROW(),"000"),"")</f>
      </c>
      <c r="R51" s="201">
        <f>IF($C51,IF(ISNUMBER('Proyecto Datos (OKR´s)'!$L51),'Proyecto Datos (OKR´s)'!$L51,$H51),"")</f>
      </c>
      <c r="S51" s="201">
        <f>IF($C51,$R51-'Proyecto Datos (OKR´s)'!$K51+1,"")</f>
      </c>
      <c r="T51" s="201">
        <f>IF($C51,MAX(0,TODAY()-'Proyecto Datos (OKR´s)'!$K51),"")</f>
      </c>
      <c r="U51" s="201">
        <f>IF($C51,MEDIAN(0,(TODAY()-'Proyecto Datos (OKR´s)'!$K51)/MAX(1,$R51-'Proyecto Datos (OKR´s)'!$K51),1),"")</f>
      </c>
      <c r="V51" s="201">
        <f>IF($C51,$I51-$U51,"")</f>
      </c>
      <c r="W51" s="201">
        <f>IF($C51,IF($J51="Completado",0,MAX(0,TODAY()-$H51)),"")</f>
      </c>
      <c r="X51" s="201">
        <f>IF($C51,IF(ISNUMBER($H51),$R51-$H51,0),"")</f>
      </c>
      <c r="Y51" s="201">
        <f>IF($C51,COUNTIFS($G$7:$G$200,$G51,$J$7:$J$200,"&lt;&gt;Completado",$J$7:$J$200,"&lt;&gt;"),"")</f>
      </c>
      <c r="Z51" s="201">
        <f>IF($C51,AND($I51=0,'Proyecto Datos (OKR´s)'!$K51&lt;=TODAY(),$J51&lt;&gt;"Completado"),"")</f>
      </c>
      <c r="AA51" s="201">
        <f>IF($C51,ROUND(100*(0.35*$AK51+0.3*$AL51+0.2*$AM51+0.15*MEDIAN(0,($Y51-4)/8,1)),0),"")</f>
      </c>
      <c r="AB51" s="202">
        <f>IF($C51,IF($J51="Completado","—",IF($AA51&gt;=70,"Crítica",IF($AA51&gt;=45,"Alta",IF($AA51&gt;=25,"Media","Baja")))),"")</f>
      </c>
      <c r="AC51" s="202">
        <f>IF($C51,IF(LEN(TRIM($AN51))=0,"—",TRIM($AN51)),"")</f>
      </c>
      <c r="AD51" s="201">
        <f>IF($C51,IF($N51=9999,9999,IF($J51="Completado",$N51,MAX($N51,'Historial de Sprints'!$C$7))),"")</f>
      </c>
      <c r="AE51" s="201">
        <f>IF($C51,IF($AD51=9999,"(Sin sprint)",$AD51),"")</f>
      </c>
      <c r="AF51" s="201">
        <f>IF($C51,AND($N51&lt;&gt;9999,$AD51&lt;&gt;$N51),FALSE)</f>
      </c>
      <c r="AG51" s="201">
        <f>IF($AF51,'Historial de Sprints'!$C$5+$N51*'Historial de Sprints'!$C$6-1,"")</f>
      </c>
      <c r="AH51" s="202">
        <f>IF($AF51,"No completada al cierre del Sprint "&amp;$N51&amp;" -&gt; reasignada al Sprint "&amp;$AD51,"")</f>
      </c>
      <c r="AI51" s="201">
        <f>IF($AF51,$N51*100000+ROW(),"")</f>
      </c>
      <c r="AJ51" s="201">
        <f>IF($C51,$AA51*1000000-MEDIAN(-9999,$K51,9999)*100+(300-ROW()),"")</f>
      </c>
      <c r="AK51" s="201">
        <f>IF($C51,IF($J51="Completado",0,IF($K51&lt;0,1,IF($K51&lt;=3,0.9,IF($K51&lt;=7,0.7,IF($K51&lt;=14,0.45,0.2))))),"")</f>
      </c>
      <c r="AL51" s="201">
        <f>IF($C51,IF($J51="Completado",0,MEDIAN(0,MAX(-$V51,$W51/30),1)),"")</f>
      </c>
      <c r="AM51" s="201">
        <f>IF($C51,IF($J51="Completado",0,IF($Z51,1,IF(AND($I51&lt;0.5,$K51&lt;=7),0.7,0.3))),"")</f>
      </c>
      <c r="AN51" s="202">
        <f>IF($C51,IF(OR($V51&lt;-0.2,$W51&gt;0),"ATRASO ","")&amp;IF($Z51,"BLOQUEO ","")&amp;IF($Y51&gt;8,"SOBRECARGA ","")&amp;IF($X51&gt;0,"DESVÍO-PLAN ",""),"")</f>
      </c>
    </row>
    <row r="52">
      <c r="A52" s="201">
        <f>ROW()</f>
      </c>
      <c r="B52" s="201">
        <f>ISTEXT('Proyecto Datos (OKR´s)'!$K52)</f>
      </c>
      <c r="C52" s="201">
        <f>AND(LEN('Proyecto Datos (OKR´s)'!$G52)&gt;0,NOT($B52),OR(ISNUMBER('Proyecto Datos (OKR´s)'!$F52),ISNUMBER('Proyecto Datos (OKR´s)'!$L52)))</f>
      </c>
      <c r="D52" s="202">
        <f>IF($C52,IFERROR(LOOKUP(2,1/((ISTEXT('Proyecto Datos (OKR´s)'!$K$7:$K52))*(LEN('Proyecto Datos (OKR´s)'!$G$7:$G52)&gt;0)),'Proyecto Datos (OKR´s)'!$G$7:$G52),""),"")</f>
      </c>
      <c r="E52" s="201">
        <f>IF($C52,'Proyecto Datos (OKR´s)'!$E52,"")</f>
      </c>
      <c r="F52" s="202">
        <f>IF($C52,'Proyecto Datos (OKR´s)'!$G52,"")</f>
      </c>
      <c r="G52" s="202">
        <f>IF($C52,IF('Proyecto Datos (OKR´s)'!$I52="","(Sin asignar)",'Proyecto Datos (OKR´s)'!$I52),"")</f>
      </c>
      <c r="H52" s="201">
        <f>IF($C52,IF(ISNUMBER('Proyecto Datos (OKR´s)'!$F52),'Proyecto Datos (OKR´s)'!$F52,'Proyecto Datos (OKR´s)'!$L52),"")</f>
      </c>
      <c r="I52" s="201">
        <f>IF($C52,'Proyecto Datos (OKR´s)'!$J52,"")</f>
      </c>
      <c r="J52" s="202">
        <f>IF($C52,IF($I52&gt;=1,"Completado",IF($H52&lt;TODAY(),"Vencido",IF(($H52-TODAY())&lt;='Entregas Próximas'!$M$3,"Próximo a vencer","En curso"))),"")</f>
      </c>
      <c r="K52" s="201">
        <f>IF($C52,$H52-TODAY(),"")</f>
      </c>
      <c r="L52" s="201">
        <f>IF($C52,$AD52*1000000+$H52+ROW()/100000,"")</f>
      </c>
      <c r="M52" s="201">
        <f>IF($C52,IF($AD52=9999,"(Sin sprint)",$AD52),"")</f>
      </c>
      <c r="N52" s="201">
        <f>IF($C52,IF('Proyecto Datos (OKR´s)'!$E52="",9999,'Proyecto Datos (OKR´s)'!$E52),"")</f>
      </c>
      <c r="O52" s="201">
        <f>IF($C52,"T"&amp;TEXT(ROW(),"000"),"")</f>
      </c>
      <c r="R52" s="201">
        <f>IF($C52,IF(ISNUMBER('Proyecto Datos (OKR´s)'!$L52),'Proyecto Datos (OKR´s)'!$L52,$H52),"")</f>
      </c>
      <c r="S52" s="201">
        <f>IF($C52,$R52-'Proyecto Datos (OKR´s)'!$K52+1,"")</f>
      </c>
      <c r="T52" s="201">
        <f>IF($C52,MAX(0,TODAY()-'Proyecto Datos (OKR´s)'!$K52),"")</f>
      </c>
      <c r="U52" s="201">
        <f>IF($C52,MEDIAN(0,(TODAY()-'Proyecto Datos (OKR´s)'!$K52)/MAX(1,$R52-'Proyecto Datos (OKR´s)'!$K52),1),"")</f>
      </c>
      <c r="V52" s="201">
        <f>IF($C52,$I52-$U52,"")</f>
      </c>
      <c r="W52" s="201">
        <f>IF($C52,IF($J52="Completado",0,MAX(0,TODAY()-$H52)),"")</f>
      </c>
      <c r="X52" s="201">
        <f>IF($C52,IF(ISNUMBER($H52),$R52-$H52,0),"")</f>
      </c>
      <c r="Y52" s="201">
        <f>IF($C52,COUNTIFS($G$7:$G$200,$G52,$J$7:$J$200,"&lt;&gt;Completado",$J$7:$J$200,"&lt;&gt;"),"")</f>
      </c>
      <c r="Z52" s="201">
        <f>IF($C52,AND($I52=0,'Proyecto Datos (OKR´s)'!$K52&lt;=TODAY(),$J52&lt;&gt;"Completado"),"")</f>
      </c>
      <c r="AA52" s="201">
        <f>IF($C52,ROUND(100*(0.35*$AK52+0.3*$AL52+0.2*$AM52+0.15*MEDIAN(0,($Y52-4)/8,1)),0),"")</f>
      </c>
      <c r="AB52" s="202">
        <f>IF($C52,IF($J52="Completado","—",IF($AA52&gt;=70,"Crítica",IF($AA52&gt;=45,"Alta",IF($AA52&gt;=25,"Media","Baja")))),"")</f>
      </c>
      <c r="AC52" s="202">
        <f>IF($C52,IF(LEN(TRIM($AN52))=0,"—",TRIM($AN52)),"")</f>
      </c>
      <c r="AD52" s="201">
        <f>IF($C52,IF($N52=9999,9999,IF($J52="Completado",$N52,MAX($N52,'Historial de Sprints'!$C$7))),"")</f>
      </c>
      <c r="AE52" s="201">
        <f>IF($C52,IF($AD52=9999,"(Sin sprint)",$AD52),"")</f>
      </c>
      <c r="AF52" s="201">
        <f>IF($C52,AND($N52&lt;&gt;9999,$AD52&lt;&gt;$N52),FALSE)</f>
      </c>
      <c r="AG52" s="201">
        <f>IF($AF52,'Historial de Sprints'!$C$5+$N52*'Historial de Sprints'!$C$6-1,"")</f>
      </c>
      <c r="AH52" s="202">
        <f>IF($AF52,"No completada al cierre del Sprint "&amp;$N52&amp;" -&gt; reasignada al Sprint "&amp;$AD52,"")</f>
      </c>
      <c r="AI52" s="201">
        <f>IF($AF52,$N52*100000+ROW(),"")</f>
      </c>
      <c r="AJ52" s="201">
        <f>IF($C52,$AA52*1000000-MEDIAN(-9999,$K52,9999)*100+(300-ROW()),"")</f>
      </c>
      <c r="AK52" s="201">
        <f>IF($C52,IF($J52="Completado",0,IF($K52&lt;0,1,IF($K52&lt;=3,0.9,IF($K52&lt;=7,0.7,IF($K52&lt;=14,0.45,0.2))))),"")</f>
      </c>
      <c r="AL52" s="201">
        <f>IF($C52,IF($J52="Completado",0,MEDIAN(0,MAX(-$V52,$W52/30),1)),"")</f>
      </c>
      <c r="AM52" s="201">
        <f>IF($C52,IF($J52="Completado",0,IF($Z52,1,IF(AND($I52&lt;0.5,$K52&lt;=7),0.7,0.3))),"")</f>
      </c>
      <c r="AN52" s="202">
        <f>IF($C52,IF(OR($V52&lt;-0.2,$W52&gt;0),"ATRASO ","")&amp;IF($Z52,"BLOQUEO ","")&amp;IF($Y52&gt;8,"SOBRECARGA ","")&amp;IF($X52&gt;0,"DESVÍO-PLAN ",""),"")</f>
      </c>
    </row>
    <row r="53">
      <c r="A53" s="201">
        <f>ROW()</f>
      </c>
      <c r="B53" s="201">
        <f>ISTEXT('Proyecto Datos (OKR´s)'!$K53)</f>
      </c>
      <c r="C53" s="201">
        <f>AND(LEN('Proyecto Datos (OKR´s)'!$G53)&gt;0,NOT($B53),OR(ISNUMBER('Proyecto Datos (OKR´s)'!$F53),ISNUMBER('Proyecto Datos (OKR´s)'!$L53)))</f>
      </c>
      <c r="D53" s="202">
        <f>IF($C53,IFERROR(LOOKUP(2,1/((ISTEXT('Proyecto Datos (OKR´s)'!$K$7:$K53))*(LEN('Proyecto Datos (OKR´s)'!$G$7:$G53)&gt;0)),'Proyecto Datos (OKR´s)'!$G$7:$G53),""),"")</f>
      </c>
      <c r="E53" s="201">
        <f>IF($C53,'Proyecto Datos (OKR´s)'!$E53,"")</f>
      </c>
      <c r="F53" s="202">
        <f>IF($C53,'Proyecto Datos (OKR´s)'!$G53,"")</f>
      </c>
      <c r="G53" s="202">
        <f>IF($C53,IF('Proyecto Datos (OKR´s)'!$I53="","(Sin asignar)",'Proyecto Datos (OKR´s)'!$I53),"")</f>
      </c>
      <c r="H53" s="201">
        <f>IF($C53,IF(ISNUMBER('Proyecto Datos (OKR´s)'!$F53),'Proyecto Datos (OKR´s)'!$F53,'Proyecto Datos (OKR´s)'!$L53),"")</f>
      </c>
      <c r="I53" s="201">
        <f>IF($C53,'Proyecto Datos (OKR´s)'!$J53,"")</f>
      </c>
      <c r="J53" s="202">
        <f>IF($C53,IF($I53&gt;=1,"Completado",IF($H53&lt;TODAY(),"Vencido",IF(($H53-TODAY())&lt;='Entregas Próximas'!$M$3,"Próximo a vencer","En curso"))),"")</f>
      </c>
      <c r="K53" s="201">
        <f>IF($C53,$H53-TODAY(),"")</f>
      </c>
      <c r="L53" s="201">
        <f>IF($C53,$AD53*1000000+$H53+ROW()/100000,"")</f>
      </c>
      <c r="M53" s="201">
        <f>IF($C53,IF($AD53=9999,"(Sin sprint)",$AD53),"")</f>
      </c>
      <c r="N53" s="201">
        <f>IF($C53,IF('Proyecto Datos (OKR´s)'!$E53="",9999,'Proyecto Datos (OKR´s)'!$E53),"")</f>
      </c>
      <c r="O53" s="201">
        <f>IF($C53,"T"&amp;TEXT(ROW(),"000"),"")</f>
      </c>
      <c r="R53" s="201">
        <f>IF($C53,IF(ISNUMBER('Proyecto Datos (OKR´s)'!$L53),'Proyecto Datos (OKR´s)'!$L53,$H53),"")</f>
      </c>
      <c r="S53" s="201">
        <f>IF($C53,$R53-'Proyecto Datos (OKR´s)'!$K53+1,"")</f>
      </c>
      <c r="T53" s="201">
        <f>IF($C53,MAX(0,TODAY()-'Proyecto Datos (OKR´s)'!$K53),"")</f>
      </c>
      <c r="U53" s="201">
        <f>IF($C53,MEDIAN(0,(TODAY()-'Proyecto Datos (OKR´s)'!$K53)/MAX(1,$R53-'Proyecto Datos (OKR´s)'!$K53),1),"")</f>
      </c>
      <c r="V53" s="201">
        <f>IF($C53,$I53-$U53,"")</f>
      </c>
      <c r="W53" s="201">
        <f>IF($C53,IF($J53="Completado",0,MAX(0,TODAY()-$H53)),"")</f>
      </c>
      <c r="X53" s="201">
        <f>IF($C53,IF(ISNUMBER($H53),$R53-$H53,0),"")</f>
      </c>
      <c r="Y53" s="201">
        <f>IF($C53,COUNTIFS($G$7:$G$200,$G53,$J$7:$J$200,"&lt;&gt;Completado",$J$7:$J$200,"&lt;&gt;"),"")</f>
      </c>
      <c r="Z53" s="201">
        <f>IF($C53,AND($I53=0,'Proyecto Datos (OKR´s)'!$K53&lt;=TODAY(),$J53&lt;&gt;"Completado"),"")</f>
      </c>
      <c r="AA53" s="201">
        <f>IF($C53,ROUND(100*(0.35*$AK53+0.3*$AL53+0.2*$AM53+0.15*MEDIAN(0,($Y53-4)/8,1)),0),"")</f>
      </c>
      <c r="AB53" s="202">
        <f>IF($C53,IF($J53="Completado","—",IF($AA53&gt;=70,"Crítica",IF($AA53&gt;=45,"Alta",IF($AA53&gt;=25,"Media","Baja")))),"")</f>
      </c>
      <c r="AC53" s="202">
        <f>IF($C53,IF(LEN(TRIM($AN53))=0,"—",TRIM($AN53)),"")</f>
      </c>
      <c r="AD53" s="201">
        <f>IF($C53,IF($N53=9999,9999,IF($J53="Completado",$N53,MAX($N53,'Historial de Sprints'!$C$7))),"")</f>
      </c>
      <c r="AE53" s="201">
        <f>IF($C53,IF($AD53=9999,"(Sin sprint)",$AD53),"")</f>
      </c>
      <c r="AF53" s="201">
        <f>IF($C53,AND($N53&lt;&gt;9999,$AD53&lt;&gt;$N53),FALSE)</f>
      </c>
      <c r="AG53" s="201">
        <f>IF($AF53,'Historial de Sprints'!$C$5+$N53*'Historial de Sprints'!$C$6-1,"")</f>
      </c>
      <c r="AH53" s="202">
        <f>IF($AF53,"No completada al cierre del Sprint "&amp;$N53&amp;" -&gt; reasignada al Sprint "&amp;$AD53,"")</f>
      </c>
      <c r="AI53" s="201">
        <f>IF($AF53,$N53*100000+ROW(),"")</f>
      </c>
      <c r="AJ53" s="201">
        <f>IF($C53,$AA53*1000000-MEDIAN(-9999,$K53,9999)*100+(300-ROW()),"")</f>
      </c>
      <c r="AK53" s="201">
        <f>IF($C53,IF($J53="Completado",0,IF($K53&lt;0,1,IF($K53&lt;=3,0.9,IF($K53&lt;=7,0.7,IF($K53&lt;=14,0.45,0.2))))),"")</f>
      </c>
      <c r="AL53" s="201">
        <f>IF($C53,IF($J53="Completado",0,MEDIAN(0,MAX(-$V53,$W53/30),1)),"")</f>
      </c>
      <c r="AM53" s="201">
        <f>IF($C53,IF($J53="Completado",0,IF($Z53,1,IF(AND($I53&lt;0.5,$K53&lt;=7),0.7,0.3))),"")</f>
      </c>
      <c r="AN53" s="202">
        <f>IF($C53,IF(OR($V53&lt;-0.2,$W53&gt;0),"ATRASO ","")&amp;IF($Z53,"BLOQUEO ","")&amp;IF($Y53&gt;8,"SOBRECARGA ","")&amp;IF($X53&gt;0,"DESVÍO-PLAN ",""),"")</f>
      </c>
    </row>
    <row r="54">
      <c r="A54" s="201">
        <f>ROW()</f>
      </c>
      <c r="B54" s="201">
        <f>ISTEXT('Proyecto Datos (OKR´s)'!$K54)</f>
      </c>
      <c r="C54" s="201">
        <f>AND(LEN('Proyecto Datos (OKR´s)'!$G54)&gt;0,NOT($B54),OR(ISNUMBER('Proyecto Datos (OKR´s)'!$F54),ISNUMBER('Proyecto Datos (OKR´s)'!$L54)))</f>
      </c>
      <c r="D54" s="202">
        <f>IF($C54,IFERROR(LOOKUP(2,1/((ISTEXT('Proyecto Datos (OKR´s)'!$K$7:$K54))*(LEN('Proyecto Datos (OKR´s)'!$G$7:$G54)&gt;0)),'Proyecto Datos (OKR´s)'!$G$7:$G54),""),"")</f>
      </c>
      <c r="E54" s="201">
        <f>IF($C54,'Proyecto Datos (OKR´s)'!$E54,"")</f>
      </c>
      <c r="F54" s="202">
        <f>IF($C54,'Proyecto Datos (OKR´s)'!$G54,"")</f>
      </c>
      <c r="G54" s="202">
        <f>IF($C54,IF('Proyecto Datos (OKR´s)'!$I54="","(Sin asignar)",'Proyecto Datos (OKR´s)'!$I54),"")</f>
      </c>
      <c r="H54" s="201">
        <f>IF($C54,IF(ISNUMBER('Proyecto Datos (OKR´s)'!$F54),'Proyecto Datos (OKR´s)'!$F54,'Proyecto Datos (OKR´s)'!$L54),"")</f>
      </c>
      <c r="I54" s="201">
        <f>IF($C54,'Proyecto Datos (OKR´s)'!$J54,"")</f>
      </c>
      <c r="J54" s="202">
        <f>IF($C54,IF($I54&gt;=1,"Completado",IF($H54&lt;TODAY(),"Vencido",IF(($H54-TODAY())&lt;='Entregas Próximas'!$M$3,"Próximo a vencer","En curso"))),"")</f>
      </c>
      <c r="K54" s="201">
        <f>IF($C54,$H54-TODAY(),"")</f>
      </c>
      <c r="L54" s="201">
        <f>IF($C54,$AD54*1000000+$H54+ROW()/100000,"")</f>
      </c>
      <c r="M54" s="201">
        <f>IF($C54,IF($AD54=9999,"(Sin sprint)",$AD54),"")</f>
      </c>
      <c r="N54" s="201">
        <f>IF($C54,IF('Proyecto Datos (OKR´s)'!$E54="",9999,'Proyecto Datos (OKR´s)'!$E54),"")</f>
      </c>
      <c r="O54" s="201">
        <f>IF($C54,"T"&amp;TEXT(ROW(),"000"),"")</f>
      </c>
      <c r="R54" s="201">
        <f>IF($C54,IF(ISNUMBER('Proyecto Datos (OKR´s)'!$L54),'Proyecto Datos (OKR´s)'!$L54,$H54),"")</f>
      </c>
      <c r="S54" s="201">
        <f>IF($C54,$R54-'Proyecto Datos (OKR´s)'!$K54+1,"")</f>
      </c>
      <c r="T54" s="201">
        <f>IF($C54,MAX(0,TODAY()-'Proyecto Datos (OKR´s)'!$K54),"")</f>
      </c>
      <c r="U54" s="201">
        <f>IF($C54,MEDIAN(0,(TODAY()-'Proyecto Datos (OKR´s)'!$K54)/MAX(1,$R54-'Proyecto Datos (OKR´s)'!$K54),1),"")</f>
      </c>
      <c r="V54" s="201">
        <f>IF($C54,$I54-$U54,"")</f>
      </c>
      <c r="W54" s="201">
        <f>IF($C54,IF($J54="Completado",0,MAX(0,TODAY()-$H54)),"")</f>
      </c>
      <c r="X54" s="201">
        <f>IF($C54,IF(ISNUMBER($H54),$R54-$H54,0),"")</f>
      </c>
      <c r="Y54" s="201">
        <f>IF($C54,COUNTIFS($G$7:$G$200,$G54,$J$7:$J$200,"&lt;&gt;Completado",$J$7:$J$200,"&lt;&gt;"),"")</f>
      </c>
      <c r="Z54" s="201">
        <f>IF($C54,AND($I54=0,'Proyecto Datos (OKR´s)'!$K54&lt;=TODAY(),$J54&lt;&gt;"Completado"),"")</f>
      </c>
      <c r="AA54" s="201">
        <f>IF($C54,ROUND(100*(0.35*$AK54+0.3*$AL54+0.2*$AM54+0.15*MEDIAN(0,($Y54-4)/8,1)),0),"")</f>
      </c>
      <c r="AB54" s="202">
        <f>IF($C54,IF($J54="Completado","—",IF($AA54&gt;=70,"Crítica",IF($AA54&gt;=45,"Alta",IF($AA54&gt;=25,"Media","Baja")))),"")</f>
      </c>
      <c r="AC54" s="202">
        <f>IF($C54,IF(LEN(TRIM($AN54))=0,"—",TRIM($AN54)),"")</f>
      </c>
      <c r="AD54" s="201">
        <f>IF($C54,IF($N54=9999,9999,IF($J54="Completado",$N54,MAX($N54,'Historial de Sprints'!$C$7))),"")</f>
      </c>
      <c r="AE54" s="201">
        <f>IF($C54,IF($AD54=9999,"(Sin sprint)",$AD54),"")</f>
      </c>
      <c r="AF54" s="201">
        <f>IF($C54,AND($N54&lt;&gt;9999,$AD54&lt;&gt;$N54),FALSE)</f>
      </c>
      <c r="AG54" s="201">
        <f>IF($AF54,'Historial de Sprints'!$C$5+$N54*'Historial de Sprints'!$C$6-1,"")</f>
      </c>
      <c r="AH54" s="202">
        <f>IF($AF54,"No completada al cierre del Sprint "&amp;$N54&amp;" -&gt; reasignada al Sprint "&amp;$AD54,"")</f>
      </c>
      <c r="AI54" s="201">
        <f>IF($AF54,$N54*100000+ROW(),"")</f>
      </c>
      <c r="AJ54" s="201">
        <f>IF($C54,$AA54*1000000-MEDIAN(-9999,$K54,9999)*100+(300-ROW()),"")</f>
      </c>
      <c r="AK54" s="201">
        <f>IF($C54,IF($J54="Completado",0,IF($K54&lt;0,1,IF($K54&lt;=3,0.9,IF($K54&lt;=7,0.7,IF($K54&lt;=14,0.45,0.2))))),"")</f>
      </c>
      <c r="AL54" s="201">
        <f>IF($C54,IF($J54="Completado",0,MEDIAN(0,MAX(-$V54,$W54/30),1)),"")</f>
      </c>
      <c r="AM54" s="201">
        <f>IF($C54,IF($J54="Completado",0,IF($Z54,1,IF(AND($I54&lt;0.5,$K54&lt;=7),0.7,0.3))),"")</f>
      </c>
      <c r="AN54" s="202">
        <f>IF($C54,IF(OR($V54&lt;-0.2,$W54&gt;0),"ATRASO ","")&amp;IF($Z54,"BLOQUEO ","")&amp;IF($Y54&gt;8,"SOBRECARGA ","")&amp;IF($X54&gt;0,"DESVÍO-PLAN ",""),"")</f>
      </c>
    </row>
    <row r="55">
      <c r="A55" s="201">
        <f>ROW()</f>
      </c>
      <c r="B55" s="201">
        <f>ISTEXT('Proyecto Datos (OKR´s)'!$K55)</f>
      </c>
      <c r="C55" s="201">
        <f>AND(LEN('Proyecto Datos (OKR´s)'!$G55)&gt;0,NOT($B55),OR(ISNUMBER('Proyecto Datos (OKR´s)'!$F55),ISNUMBER('Proyecto Datos (OKR´s)'!$L55)))</f>
      </c>
      <c r="D55" s="202">
        <f>IF($C55,IFERROR(LOOKUP(2,1/((ISTEXT('Proyecto Datos (OKR´s)'!$K$7:$K55))*(LEN('Proyecto Datos (OKR´s)'!$G$7:$G55)&gt;0)),'Proyecto Datos (OKR´s)'!$G$7:$G55),""),"")</f>
      </c>
      <c r="E55" s="201">
        <f>IF($C55,'Proyecto Datos (OKR´s)'!$E55,"")</f>
      </c>
      <c r="F55" s="202">
        <f>IF($C55,'Proyecto Datos (OKR´s)'!$G55,"")</f>
      </c>
      <c r="G55" s="202">
        <f>IF($C55,IF('Proyecto Datos (OKR´s)'!$I55="","(Sin asignar)",'Proyecto Datos (OKR´s)'!$I55),"")</f>
      </c>
      <c r="H55" s="201">
        <f>IF($C55,IF(ISNUMBER('Proyecto Datos (OKR´s)'!$F55),'Proyecto Datos (OKR´s)'!$F55,'Proyecto Datos (OKR´s)'!$L55),"")</f>
      </c>
      <c r="I55" s="201">
        <f>IF($C55,'Proyecto Datos (OKR´s)'!$J55,"")</f>
      </c>
      <c r="J55" s="202">
        <f>IF($C55,IF($I55&gt;=1,"Completado",IF($H55&lt;TODAY(),"Vencido",IF(($H55-TODAY())&lt;='Entregas Próximas'!$M$3,"Próximo a vencer","En curso"))),"")</f>
      </c>
      <c r="K55" s="201">
        <f>IF($C55,$H55-TODAY(),"")</f>
      </c>
      <c r="L55" s="201">
        <f>IF($C55,$AD55*1000000+$H55+ROW()/100000,"")</f>
      </c>
      <c r="M55" s="201">
        <f>IF($C55,IF($AD55=9999,"(Sin sprint)",$AD55),"")</f>
      </c>
      <c r="N55" s="201">
        <f>IF($C55,IF('Proyecto Datos (OKR´s)'!$E55="",9999,'Proyecto Datos (OKR´s)'!$E55),"")</f>
      </c>
      <c r="O55" s="201">
        <f>IF($C55,"T"&amp;TEXT(ROW(),"000"),"")</f>
      </c>
      <c r="R55" s="201">
        <f>IF($C55,IF(ISNUMBER('Proyecto Datos (OKR´s)'!$L55),'Proyecto Datos (OKR´s)'!$L55,$H55),"")</f>
      </c>
      <c r="S55" s="201">
        <f>IF($C55,$R55-'Proyecto Datos (OKR´s)'!$K55+1,"")</f>
      </c>
      <c r="T55" s="201">
        <f>IF($C55,MAX(0,TODAY()-'Proyecto Datos (OKR´s)'!$K55),"")</f>
      </c>
      <c r="U55" s="201">
        <f>IF($C55,MEDIAN(0,(TODAY()-'Proyecto Datos (OKR´s)'!$K55)/MAX(1,$R55-'Proyecto Datos (OKR´s)'!$K55),1),"")</f>
      </c>
      <c r="V55" s="201">
        <f>IF($C55,$I55-$U55,"")</f>
      </c>
      <c r="W55" s="201">
        <f>IF($C55,IF($J55="Completado",0,MAX(0,TODAY()-$H55)),"")</f>
      </c>
      <c r="X55" s="201">
        <f>IF($C55,IF(ISNUMBER($H55),$R55-$H55,0),"")</f>
      </c>
      <c r="Y55" s="201">
        <f>IF($C55,COUNTIFS($G$7:$G$200,$G55,$J$7:$J$200,"&lt;&gt;Completado",$J$7:$J$200,"&lt;&gt;"),"")</f>
      </c>
      <c r="Z55" s="201">
        <f>IF($C55,AND($I55=0,'Proyecto Datos (OKR´s)'!$K55&lt;=TODAY(),$J55&lt;&gt;"Completado"),"")</f>
      </c>
      <c r="AA55" s="201">
        <f>IF($C55,ROUND(100*(0.35*$AK55+0.3*$AL55+0.2*$AM55+0.15*MEDIAN(0,($Y55-4)/8,1)),0),"")</f>
      </c>
      <c r="AB55" s="202">
        <f>IF($C55,IF($J55="Completado","—",IF($AA55&gt;=70,"Crítica",IF($AA55&gt;=45,"Alta",IF($AA55&gt;=25,"Media","Baja")))),"")</f>
      </c>
      <c r="AC55" s="202">
        <f>IF($C55,IF(LEN(TRIM($AN55))=0,"—",TRIM($AN55)),"")</f>
      </c>
      <c r="AD55" s="201">
        <f>IF($C55,IF($N55=9999,9999,IF($J55="Completado",$N55,MAX($N55,'Historial de Sprints'!$C$7))),"")</f>
      </c>
      <c r="AE55" s="201">
        <f>IF($C55,IF($AD55=9999,"(Sin sprint)",$AD55),"")</f>
      </c>
      <c r="AF55" s="201">
        <f>IF($C55,AND($N55&lt;&gt;9999,$AD55&lt;&gt;$N55),FALSE)</f>
      </c>
      <c r="AG55" s="201">
        <f>IF($AF55,'Historial de Sprints'!$C$5+$N55*'Historial de Sprints'!$C$6-1,"")</f>
      </c>
      <c r="AH55" s="202">
        <f>IF($AF55,"No completada al cierre del Sprint "&amp;$N55&amp;" -&gt; reasignada al Sprint "&amp;$AD55,"")</f>
      </c>
      <c r="AI55" s="201">
        <f>IF($AF55,$N55*100000+ROW(),"")</f>
      </c>
      <c r="AJ55" s="201">
        <f>IF($C55,$AA55*1000000-MEDIAN(-9999,$K55,9999)*100+(300-ROW()),"")</f>
      </c>
      <c r="AK55" s="201">
        <f>IF($C55,IF($J55="Completado",0,IF($K55&lt;0,1,IF($K55&lt;=3,0.9,IF($K55&lt;=7,0.7,IF($K55&lt;=14,0.45,0.2))))),"")</f>
      </c>
      <c r="AL55" s="201">
        <f>IF($C55,IF($J55="Completado",0,MEDIAN(0,MAX(-$V55,$W55/30),1)),"")</f>
      </c>
      <c r="AM55" s="201">
        <f>IF($C55,IF($J55="Completado",0,IF($Z55,1,IF(AND($I55&lt;0.5,$K55&lt;=7),0.7,0.3))),"")</f>
      </c>
      <c r="AN55" s="202">
        <f>IF($C55,IF(OR($V55&lt;-0.2,$W55&gt;0),"ATRASO ","")&amp;IF($Z55,"BLOQUEO ","")&amp;IF($Y55&gt;8,"SOBRECARGA ","")&amp;IF($X55&gt;0,"DESVÍO-PLAN ",""),"")</f>
      </c>
    </row>
    <row r="56">
      <c r="A56" s="201">
        <f>ROW()</f>
      </c>
      <c r="B56" s="201">
        <f>ISTEXT('Proyecto Datos (OKR´s)'!$K56)</f>
      </c>
      <c r="C56" s="201">
        <f>AND(LEN('Proyecto Datos (OKR´s)'!$G56)&gt;0,NOT($B56),OR(ISNUMBER('Proyecto Datos (OKR´s)'!$F56),ISNUMBER('Proyecto Datos (OKR´s)'!$L56)))</f>
      </c>
      <c r="D56" s="202">
        <f>IF($C56,IFERROR(LOOKUP(2,1/((ISTEXT('Proyecto Datos (OKR´s)'!$K$7:$K56))*(LEN('Proyecto Datos (OKR´s)'!$G$7:$G56)&gt;0)),'Proyecto Datos (OKR´s)'!$G$7:$G56),""),"")</f>
      </c>
      <c r="E56" s="201">
        <f>IF($C56,'Proyecto Datos (OKR´s)'!$E56,"")</f>
      </c>
      <c r="F56" s="202">
        <f>IF($C56,'Proyecto Datos (OKR´s)'!$G56,"")</f>
      </c>
      <c r="G56" s="202">
        <f>IF($C56,IF('Proyecto Datos (OKR´s)'!$I56="","(Sin asignar)",'Proyecto Datos (OKR´s)'!$I56),"")</f>
      </c>
      <c r="H56" s="201">
        <f>IF($C56,IF(ISNUMBER('Proyecto Datos (OKR´s)'!$F56),'Proyecto Datos (OKR´s)'!$F56,'Proyecto Datos (OKR´s)'!$L56),"")</f>
      </c>
      <c r="I56" s="201">
        <f>IF($C56,'Proyecto Datos (OKR´s)'!$J56,"")</f>
      </c>
      <c r="J56" s="202">
        <f>IF($C56,IF($I56&gt;=1,"Completado",IF($H56&lt;TODAY(),"Vencido",IF(($H56-TODAY())&lt;='Entregas Próximas'!$M$3,"Próximo a vencer","En curso"))),"")</f>
      </c>
      <c r="K56" s="201">
        <f>IF($C56,$H56-TODAY(),"")</f>
      </c>
      <c r="L56" s="201">
        <f>IF($C56,$AD56*1000000+$H56+ROW()/100000,"")</f>
      </c>
      <c r="M56" s="201">
        <f>IF($C56,IF($AD56=9999,"(Sin sprint)",$AD56),"")</f>
      </c>
      <c r="N56" s="201">
        <f>IF($C56,IF('Proyecto Datos (OKR´s)'!$E56="",9999,'Proyecto Datos (OKR´s)'!$E56),"")</f>
      </c>
      <c r="O56" s="201">
        <f>IF($C56,"T"&amp;TEXT(ROW(),"000"),"")</f>
      </c>
      <c r="R56" s="201">
        <f>IF($C56,IF(ISNUMBER('Proyecto Datos (OKR´s)'!$L56),'Proyecto Datos (OKR´s)'!$L56,$H56),"")</f>
      </c>
      <c r="S56" s="201">
        <f>IF($C56,$R56-'Proyecto Datos (OKR´s)'!$K56+1,"")</f>
      </c>
      <c r="T56" s="201">
        <f>IF($C56,MAX(0,TODAY()-'Proyecto Datos (OKR´s)'!$K56),"")</f>
      </c>
      <c r="U56" s="201">
        <f>IF($C56,MEDIAN(0,(TODAY()-'Proyecto Datos (OKR´s)'!$K56)/MAX(1,$R56-'Proyecto Datos (OKR´s)'!$K56),1),"")</f>
      </c>
      <c r="V56" s="201">
        <f>IF($C56,$I56-$U56,"")</f>
      </c>
      <c r="W56" s="201">
        <f>IF($C56,IF($J56="Completado",0,MAX(0,TODAY()-$H56)),"")</f>
      </c>
      <c r="X56" s="201">
        <f>IF($C56,IF(ISNUMBER($H56),$R56-$H56,0),"")</f>
      </c>
      <c r="Y56" s="201">
        <f>IF($C56,COUNTIFS($G$7:$G$200,$G56,$J$7:$J$200,"&lt;&gt;Completado",$J$7:$J$200,"&lt;&gt;"),"")</f>
      </c>
      <c r="Z56" s="201">
        <f>IF($C56,AND($I56=0,'Proyecto Datos (OKR´s)'!$K56&lt;=TODAY(),$J56&lt;&gt;"Completado"),"")</f>
      </c>
      <c r="AA56" s="201">
        <f>IF($C56,ROUND(100*(0.35*$AK56+0.3*$AL56+0.2*$AM56+0.15*MEDIAN(0,($Y56-4)/8,1)),0),"")</f>
      </c>
      <c r="AB56" s="202">
        <f>IF($C56,IF($J56="Completado","—",IF($AA56&gt;=70,"Crítica",IF($AA56&gt;=45,"Alta",IF($AA56&gt;=25,"Media","Baja")))),"")</f>
      </c>
      <c r="AC56" s="202">
        <f>IF($C56,IF(LEN(TRIM($AN56))=0,"—",TRIM($AN56)),"")</f>
      </c>
      <c r="AD56" s="201">
        <f>IF($C56,IF($N56=9999,9999,IF($J56="Completado",$N56,MAX($N56,'Historial de Sprints'!$C$7))),"")</f>
      </c>
      <c r="AE56" s="201">
        <f>IF($C56,IF($AD56=9999,"(Sin sprint)",$AD56),"")</f>
      </c>
      <c r="AF56" s="201">
        <f>IF($C56,AND($N56&lt;&gt;9999,$AD56&lt;&gt;$N56),FALSE)</f>
      </c>
      <c r="AG56" s="201">
        <f>IF($AF56,'Historial de Sprints'!$C$5+$N56*'Historial de Sprints'!$C$6-1,"")</f>
      </c>
      <c r="AH56" s="202">
        <f>IF($AF56,"No completada al cierre del Sprint "&amp;$N56&amp;" -&gt; reasignada al Sprint "&amp;$AD56,"")</f>
      </c>
      <c r="AI56" s="201">
        <f>IF($AF56,$N56*100000+ROW(),"")</f>
      </c>
      <c r="AJ56" s="201">
        <f>IF($C56,$AA56*1000000-MEDIAN(-9999,$K56,9999)*100+(300-ROW()),"")</f>
      </c>
      <c r="AK56" s="201">
        <f>IF($C56,IF($J56="Completado",0,IF($K56&lt;0,1,IF($K56&lt;=3,0.9,IF($K56&lt;=7,0.7,IF($K56&lt;=14,0.45,0.2))))),"")</f>
      </c>
      <c r="AL56" s="201">
        <f>IF($C56,IF($J56="Completado",0,MEDIAN(0,MAX(-$V56,$W56/30),1)),"")</f>
      </c>
      <c r="AM56" s="201">
        <f>IF($C56,IF($J56="Completado",0,IF($Z56,1,IF(AND($I56&lt;0.5,$K56&lt;=7),0.7,0.3))),"")</f>
      </c>
      <c r="AN56" s="202">
        <f>IF($C56,IF(OR($V56&lt;-0.2,$W56&gt;0),"ATRASO ","")&amp;IF($Z56,"BLOQUEO ","")&amp;IF($Y56&gt;8,"SOBRECARGA ","")&amp;IF($X56&gt;0,"DESVÍO-PLAN ",""),"")</f>
      </c>
    </row>
    <row r="57">
      <c r="A57" s="201">
        <f>ROW()</f>
      </c>
      <c r="B57" s="201">
        <f>ISTEXT('Proyecto Datos (OKR´s)'!$K57)</f>
      </c>
      <c r="C57" s="201">
        <f>AND(LEN('Proyecto Datos (OKR´s)'!$G57)&gt;0,NOT($B57),OR(ISNUMBER('Proyecto Datos (OKR´s)'!$F57),ISNUMBER('Proyecto Datos (OKR´s)'!$L57)))</f>
      </c>
      <c r="D57" s="202">
        <f>IF($C57,IFERROR(LOOKUP(2,1/((ISTEXT('Proyecto Datos (OKR´s)'!$K$7:$K57))*(LEN('Proyecto Datos (OKR´s)'!$G$7:$G57)&gt;0)),'Proyecto Datos (OKR´s)'!$G$7:$G57),""),"")</f>
      </c>
      <c r="E57" s="201">
        <f>IF($C57,'Proyecto Datos (OKR´s)'!$E57,"")</f>
      </c>
      <c r="F57" s="202">
        <f>IF($C57,'Proyecto Datos (OKR´s)'!$G57,"")</f>
      </c>
      <c r="G57" s="202">
        <f>IF($C57,IF('Proyecto Datos (OKR´s)'!$I57="","(Sin asignar)",'Proyecto Datos (OKR´s)'!$I57),"")</f>
      </c>
      <c r="H57" s="201">
        <f>IF($C57,IF(ISNUMBER('Proyecto Datos (OKR´s)'!$F57),'Proyecto Datos (OKR´s)'!$F57,'Proyecto Datos (OKR´s)'!$L57),"")</f>
      </c>
      <c r="I57" s="201">
        <f>IF($C57,'Proyecto Datos (OKR´s)'!$J57,"")</f>
      </c>
      <c r="J57" s="202">
        <f>IF($C57,IF($I57&gt;=1,"Completado",IF($H57&lt;TODAY(),"Vencido",IF(($H57-TODAY())&lt;='Entregas Próximas'!$M$3,"Próximo a vencer","En curso"))),"")</f>
      </c>
      <c r="K57" s="201">
        <f>IF($C57,$H57-TODAY(),"")</f>
      </c>
      <c r="L57" s="201">
        <f>IF($C57,$AD57*1000000+$H57+ROW()/100000,"")</f>
      </c>
      <c r="M57" s="201">
        <f>IF($C57,IF($AD57=9999,"(Sin sprint)",$AD57),"")</f>
      </c>
      <c r="N57" s="201">
        <f>IF($C57,IF('Proyecto Datos (OKR´s)'!$E57="",9999,'Proyecto Datos (OKR´s)'!$E57),"")</f>
      </c>
      <c r="O57" s="201">
        <f>IF($C57,"T"&amp;TEXT(ROW(),"000"),"")</f>
      </c>
      <c r="R57" s="201">
        <f>IF($C57,IF(ISNUMBER('Proyecto Datos (OKR´s)'!$L57),'Proyecto Datos (OKR´s)'!$L57,$H57),"")</f>
      </c>
      <c r="S57" s="201">
        <f>IF($C57,$R57-'Proyecto Datos (OKR´s)'!$K57+1,"")</f>
      </c>
      <c r="T57" s="201">
        <f>IF($C57,MAX(0,TODAY()-'Proyecto Datos (OKR´s)'!$K57),"")</f>
      </c>
      <c r="U57" s="201">
        <f>IF($C57,MEDIAN(0,(TODAY()-'Proyecto Datos (OKR´s)'!$K57)/MAX(1,$R57-'Proyecto Datos (OKR´s)'!$K57),1),"")</f>
      </c>
      <c r="V57" s="201">
        <f>IF($C57,$I57-$U57,"")</f>
      </c>
      <c r="W57" s="201">
        <f>IF($C57,IF($J57="Completado",0,MAX(0,TODAY()-$H57)),"")</f>
      </c>
      <c r="X57" s="201">
        <f>IF($C57,IF(ISNUMBER($H57),$R57-$H57,0),"")</f>
      </c>
      <c r="Y57" s="201">
        <f>IF($C57,COUNTIFS($G$7:$G$200,$G57,$J$7:$J$200,"&lt;&gt;Completado",$J$7:$J$200,"&lt;&gt;"),"")</f>
      </c>
      <c r="Z57" s="201">
        <f>IF($C57,AND($I57=0,'Proyecto Datos (OKR´s)'!$K57&lt;=TODAY(),$J57&lt;&gt;"Completado"),"")</f>
      </c>
      <c r="AA57" s="201">
        <f>IF($C57,ROUND(100*(0.35*$AK57+0.3*$AL57+0.2*$AM57+0.15*MEDIAN(0,($Y57-4)/8,1)),0),"")</f>
      </c>
      <c r="AB57" s="202">
        <f>IF($C57,IF($J57="Completado","—",IF($AA57&gt;=70,"Crítica",IF($AA57&gt;=45,"Alta",IF($AA57&gt;=25,"Media","Baja")))),"")</f>
      </c>
      <c r="AC57" s="202">
        <f>IF($C57,IF(LEN(TRIM($AN57))=0,"—",TRIM($AN57)),"")</f>
      </c>
      <c r="AD57" s="201">
        <f>IF($C57,IF($N57=9999,9999,IF($J57="Completado",$N57,MAX($N57,'Historial de Sprints'!$C$7))),"")</f>
      </c>
      <c r="AE57" s="201">
        <f>IF($C57,IF($AD57=9999,"(Sin sprint)",$AD57),"")</f>
      </c>
      <c r="AF57" s="201">
        <f>IF($C57,AND($N57&lt;&gt;9999,$AD57&lt;&gt;$N57),FALSE)</f>
      </c>
      <c r="AG57" s="201">
        <f>IF($AF57,'Historial de Sprints'!$C$5+$N57*'Historial de Sprints'!$C$6-1,"")</f>
      </c>
      <c r="AH57" s="202">
        <f>IF($AF57,"No completada al cierre del Sprint "&amp;$N57&amp;" -&gt; reasignada al Sprint "&amp;$AD57,"")</f>
      </c>
      <c r="AI57" s="201">
        <f>IF($AF57,$N57*100000+ROW(),"")</f>
      </c>
      <c r="AJ57" s="201">
        <f>IF($C57,$AA57*1000000-MEDIAN(-9999,$K57,9999)*100+(300-ROW()),"")</f>
      </c>
      <c r="AK57" s="201">
        <f>IF($C57,IF($J57="Completado",0,IF($K57&lt;0,1,IF($K57&lt;=3,0.9,IF($K57&lt;=7,0.7,IF($K57&lt;=14,0.45,0.2))))),"")</f>
      </c>
      <c r="AL57" s="201">
        <f>IF($C57,IF($J57="Completado",0,MEDIAN(0,MAX(-$V57,$W57/30),1)),"")</f>
      </c>
      <c r="AM57" s="201">
        <f>IF($C57,IF($J57="Completado",0,IF($Z57,1,IF(AND($I57&lt;0.5,$K57&lt;=7),0.7,0.3))),"")</f>
      </c>
      <c r="AN57" s="202">
        <f>IF($C57,IF(OR($V57&lt;-0.2,$W57&gt;0),"ATRASO ","")&amp;IF($Z57,"BLOQUEO ","")&amp;IF($Y57&gt;8,"SOBRECARGA ","")&amp;IF($X57&gt;0,"DESVÍO-PLAN ",""),"")</f>
      </c>
    </row>
    <row r="58">
      <c r="A58" s="201">
        <f>ROW()</f>
      </c>
      <c r="B58" s="201">
        <f>ISTEXT('Proyecto Datos (OKR´s)'!$K58)</f>
      </c>
      <c r="C58" s="201">
        <f>AND(LEN('Proyecto Datos (OKR´s)'!$G58)&gt;0,NOT($B58),OR(ISNUMBER('Proyecto Datos (OKR´s)'!$F58),ISNUMBER('Proyecto Datos (OKR´s)'!$L58)))</f>
      </c>
      <c r="D58" s="202">
        <f>IF($C58,IFERROR(LOOKUP(2,1/((ISTEXT('Proyecto Datos (OKR´s)'!$K$7:$K58))*(LEN('Proyecto Datos (OKR´s)'!$G$7:$G58)&gt;0)),'Proyecto Datos (OKR´s)'!$G$7:$G58),""),"")</f>
      </c>
      <c r="E58" s="201">
        <f>IF($C58,'Proyecto Datos (OKR´s)'!$E58,"")</f>
      </c>
      <c r="F58" s="202">
        <f>IF($C58,'Proyecto Datos (OKR´s)'!$G58,"")</f>
      </c>
      <c r="G58" s="202">
        <f>IF($C58,IF('Proyecto Datos (OKR´s)'!$I58="","(Sin asignar)",'Proyecto Datos (OKR´s)'!$I58),"")</f>
      </c>
      <c r="H58" s="201">
        <f>IF($C58,IF(ISNUMBER('Proyecto Datos (OKR´s)'!$F58),'Proyecto Datos (OKR´s)'!$F58,'Proyecto Datos (OKR´s)'!$L58),"")</f>
      </c>
      <c r="I58" s="201">
        <f>IF($C58,'Proyecto Datos (OKR´s)'!$J58,"")</f>
      </c>
      <c r="J58" s="202">
        <f>IF($C58,IF($I58&gt;=1,"Completado",IF($H58&lt;TODAY(),"Vencido",IF(($H58-TODAY())&lt;='Entregas Próximas'!$M$3,"Próximo a vencer","En curso"))),"")</f>
      </c>
      <c r="K58" s="201">
        <f>IF($C58,$H58-TODAY(),"")</f>
      </c>
      <c r="L58" s="201">
        <f>IF($C58,$AD58*1000000+$H58+ROW()/100000,"")</f>
      </c>
      <c r="M58" s="201">
        <f>IF($C58,IF($AD58=9999,"(Sin sprint)",$AD58),"")</f>
      </c>
      <c r="N58" s="201">
        <f>IF($C58,IF('Proyecto Datos (OKR´s)'!$E58="",9999,'Proyecto Datos (OKR´s)'!$E58),"")</f>
      </c>
      <c r="O58" s="201">
        <f>IF($C58,"T"&amp;TEXT(ROW(),"000"),"")</f>
      </c>
      <c r="R58" s="201">
        <f>IF($C58,IF(ISNUMBER('Proyecto Datos (OKR´s)'!$L58),'Proyecto Datos (OKR´s)'!$L58,$H58),"")</f>
      </c>
      <c r="S58" s="201">
        <f>IF($C58,$R58-'Proyecto Datos (OKR´s)'!$K58+1,"")</f>
      </c>
      <c r="T58" s="201">
        <f>IF($C58,MAX(0,TODAY()-'Proyecto Datos (OKR´s)'!$K58),"")</f>
      </c>
      <c r="U58" s="201">
        <f>IF($C58,MEDIAN(0,(TODAY()-'Proyecto Datos (OKR´s)'!$K58)/MAX(1,$R58-'Proyecto Datos (OKR´s)'!$K58),1),"")</f>
      </c>
      <c r="V58" s="201">
        <f>IF($C58,$I58-$U58,"")</f>
      </c>
      <c r="W58" s="201">
        <f>IF($C58,IF($J58="Completado",0,MAX(0,TODAY()-$H58)),"")</f>
      </c>
      <c r="X58" s="201">
        <f>IF($C58,IF(ISNUMBER($H58),$R58-$H58,0),"")</f>
      </c>
      <c r="Y58" s="201">
        <f>IF($C58,COUNTIFS($G$7:$G$200,$G58,$J$7:$J$200,"&lt;&gt;Completado",$J$7:$J$200,"&lt;&gt;"),"")</f>
      </c>
      <c r="Z58" s="201">
        <f>IF($C58,AND($I58=0,'Proyecto Datos (OKR´s)'!$K58&lt;=TODAY(),$J58&lt;&gt;"Completado"),"")</f>
      </c>
      <c r="AA58" s="201">
        <f>IF($C58,ROUND(100*(0.35*$AK58+0.3*$AL58+0.2*$AM58+0.15*MEDIAN(0,($Y58-4)/8,1)),0),"")</f>
      </c>
      <c r="AB58" s="202">
        <f>IF($C58,IF($J58="Completado","—",IF($AA58&gt;=70,"Crítica",IF($AA58&gt;=45,"Alta",IF($AA58&gt;=25,"Media","Baja")))),"")</f>
      </c>
      <c r="AC58" s="202">
        <f>IF($C58,IF(LEN(TRIM($AN58))=0,"—",TRIM($AN58)),"")</f>
      </c>
      <c r="AD58" s="201">
        <f>IF($C58,IF($N58=9999,9999,IF($J58="Completado",$N58,MAX($N58,'Historial de Sprints'!$C$7))),"")</f>
      </c>
      <c r="AE58" s="201">
        <f>IF($C58,IF($AD58=9999,"(Sin sprint)",$AD58),"")</f>
      </c>
      <c r="AF58" s="201">
        <f>IF($C58,AND($N58&lt;&gt;9999,$AD58&lt;&gt;$N58),FALSE)</f>
      </c>
      <c r="AG58" s="201">
        <f>IF($AF58,'Historial de Sprints'!$C$5+$N58*'Historial de Sprints'!$C$6-1,"")</f>
      </c>
      <c r="AH58" s="202">
        <f>IF($AF58,"No completada al cierre del Sprint "&amp;$N58&amp;" -&gt; reasignada al Sprint "&amp;$AD58,"")</f>
      </c>
      <c r="AI58" s="201">
        <f>IF($AF58,$N58*100000+ROW(),"")</f>
      </c>
      <c r="AJ58" s="201">
        <f>IF($C58,$AA58*1000000-MEDIAN(-9999,$K58,9999)*100+(300-ROW()),"")</f>
      </c>
      <c r="AK58" s="201">
        <f>IF($C58,IF($J58="Completado",0,IF($K58&lt;0,1,IF($K58&lt;=3,0.9,IF($K58&lt;=7,0.7,IF($K58&lt;=14,0.45,0.2))))),"")</f>
      </c>
      <c r="AL58" s="201">
        <f>IF($C58,IF($J58="Completado",0,MEDIAN(0,MAX(-$V58,$W58/30),1)),"")</f>
      </c>
      <c r="AM58" s="201">
        <f>IF($C58,IF($J58="Completado",0,IF($Z58,1,IF(AND($I58&lt;0.5,$K58&lt;=7),0.7,0.3))),"")</f>
      </c>
      <c r="AN58" s="202">
        <f>IF($C58,IF(OR($V58&lt;-0.2,$W58&gt;0),"ATRASO ","")&amp;IF($Z58,"BLOQUEO ","")&amp;IF($Y58&gt;8,"SOBRECARGA ","")&amp;IF($X58&gt;0,"DESVÍO-PLAN ",""),"")</f>
      </c>
    </row>
    <row r="59">
      <c r="A59" s="201">
        <f>ROW()</f>
      </c>
      <c r="B59" s="201">
        <f>ISTEXT('Proyecto Datos (OKR´s)'!$K59)</f>
      </c>
      <c r="C59" s="201">
        <f>AND(LEN('Proyecto Datos (OKR´s)'!$G59)&gt;0,NOT($B59),OR(ISNUMBER('Proyecto Datos (OKR´s)'!$F59),ISNUMBER('Proyecto Datos (OKR´s)'!$L59)))</f>
      </c>
      <c r="D59" s="202">
        <f>IF($C59,IFERROR(LOOKUP(2,1/((ISTEXT('Proyecto Datos (OKR´s)'!$K$7:$K59))*(LEN('Proyecto Datos (OKR´s)'!$G$7:$G59)&gt;0)),'Proyecto Datos (OKR´s)'!$G$7:$G59),""),"")</f>
      </c>
      <c r="E59" s="201">
        <f>IF($C59,'Proyecto Datos (OKR´s)'!$E59,"")</f>
      </c>
      <c r="F59" s="202">
        <f>IF($C59,'Proyecto Datos (OKR´s)'!$G59,"")</f>
      </c>
      <c r="G59" s="202">
        <f>IF($C59,IF('Proyecto Datos (OKR´s)'!$I59="","(Sin asignar)",'Proyecto Datos (OKR´s)'!$I59),"")</f>
      </c>
      <c r="H59" s="201">
        <f>IF($C59,IF(ISNUMBER('Proyecto Datos (OKR´s)'!$F59),'Proyecto Datos (OKR´s)'!$F59,'Proyecto Datos (OKR´s)'!$L59),"")</f>
      </c>
      <c r="I59" s="201">
        <f>IF($C59,'Proyecto Datos (OKR´s)'!$J59,"")</f>
      </c>
      <c r="J59" s="202">
        <f>IF($C59,IF($I59&gt;=1,"Completado",IF($H59&lt;TODAY(),"Vencido",IF(($H59-TODAY())&lt;='Entregas Próximas'!$M$3,"Próximo a vencer","En curso"))),"")</f>
      </c>
      <c r="K59" s="201">
        <f>IF($C59,$H59-TODAY(),"")</f>
      </c>
      <c r="L59" s="201">
        <f>IF($C59,$AD59*1000000+$H59+ROW()/100000,"")</f>
      </c>
      <c r="M59" s="201">
        <f>IF($C59,IF($AD59=9999,"(Sin sprint)",$AD59),"")</f>
      </c>
      <c r="N59" s="201">
        <f>IF($C59,IF('Proyecto Datos (OKR´s)'!$E59="",9999,'Proyecto Datos (OKR´s)'!$E59),"")</f>
      </c>
      <c r="O59" s="201">
        <f>IF($C59,"T"&amp;TEXT(ROW(),"000"),"")</f>
      </c>
      <c r="R59" s="201">
        <f>IF($C59,IF(ISNUMBER('Proyecto Datos (OKR´s)'!$L59),'Proyecto Datos (OKR´s)'!$L59,$H59),"")</f>
      </c>
      <c r="S59" s="201">
        <f>IF($C59,$R59-'Proyecto Datos (OKR´s)'!$K59+1,"")</f>
      </c>
      <c r="T59" s="201">
        <f>IF($C59,MAX(0,TODAY()-'Proyecto Datos (OKR´s)'!$K59),"")</f>
      </c>
      <c r="U59" s="201">
        <f>IF($C59,MEDIAN(0,(TODAY()-'Proyecto Datos (OKR´s)'!$K59)/MAX(1,$R59-'Proyecto Datos (OKR´s)'!$K59),1),"")</f>
      </c>
      <c r="V59" s="201">
        <f>IF($C59,$I59-$U59,"")</f>
      </c>
      <c r="W59" s="201">
        <f>IF($C59,IF($J59="Completado",0,MAX(0,TODAY()-$H59)),"")</f>
      </c>
      <c r="X59" s="201">
        <f>IF($C59,IF(ISNUMBER($H59),$R59-$H59,0),"")</f>
      </c>
      <c r="Y59" s="201">
        <f>IF($C59,COUNTIFS($G$7:$G$200,$G59,$J$7:$J$200,"&lt;&gt;Completado",$J$7:$J$200,"&lt;&gt;"),"")</f>
      </c>
      <c r="Z59" s="201">
        <f>IF($C59,AND($I59=0,'Proyecto Datos (OKR´s)'!$K59&lt;=TODAY(),$J59&lt;&gt;"Completado"),"")</f>
      </c>
      <c r="AA59" s="201">
        <f>IF($C59,ROUND(100*(0.35*$AK59+0.3*$AL59+0.2*$AM59+0.15*MEDIAN(0,($Y59-4)/8,1)),0),"")</f>
      </c>
      <c r="AB59" s="202">
        <f>IF($C59,IF($J59="Completado","—",IF($AA59&gt;=70,"Crítica",IF($AA59&gt;=45,"Alta",IF($AA59&gt;=25,"Media","Baja")))),"")</f>
      </c>
      <c r="AC59" s="202">
        <f>IF($C59,IF(LEN(TRIM($AN59))=0,"—",TRIM($AN59)),"")</f>
      </c>
      <c r="AD59" s="201">
        <f>IF($C59,IF($N59=9999,9999,IF($J59="Completado",$N59,MAX($N59,'Historial de Sprints'!$C$7))),"")</f>
      </c>
      <c r="AE59" s="201">
        <f>IF($C59,IF($AD59=9999,"(Sin sprint)",$AD59),"")</f>
      </c>
      <c r="AF59" s="201">
        <f>IF($C59,AND($N59&lt;&gt;9999,$AD59&lt;&gt;$N59),FALSE)</f>
      </c>
      <c r="AG59" s="201">
        <f>IF($AF59,'Historial de Sprints'!$C$5+$N59*'Historial de Sprints'!$C$6-1,"")</f>
      </c>
      <c r="AH59" s="202">
        <f>IF($AF59,"No completada al cierre del Sprint "&amp;$N59&amp;" -&gt; reasignada al Sprint "&amp;$AD59,"")</f>
      </c>
      <c r="AI59" s="201">
        <f>IF($AF59,$N59*100000+ROW(),"")</f>
      </c>
      <c r="AJ59" s="201">
        <f>IF($C59,$AA59*1000000-MEDIAN(-9999,$K59,9999)*100+(300-ROW()),"")</f>
      </c>
      <c r="AK59" s="201">
        <f>IF($C59,IF($J59="Completado",0,IF($K59&lt;0,1,IF($K59&lt;=3,0.9,IF($K59&lt;=7,0.7,IF($K59&lt;=14,0.45,0.2))))),"")</f>
      </c>
      <c r="AL59" s="201">
        <f>IF($C59,IF($J59="Completado",0,MEDIAN(0,MAX(-$V59,$W59/30),1)),"")</f>
      </c>
      <c r="AM59" s="201">
        <f>IF($C59,IF($J59="Completado",0,IF($Z59,1,IF(AND($I59&lt;0.5,$K59&lt;=7),0.7,0.3))),"")</f>
      </c>
      <c r="AN59" s="202">
        <f>IF($C59,IF(OR($V59&lt;-0.2,$W59&gt;0),"ATRASO ","")&amp;IF($Z59,"BLOQUEO ","")&amp;IF($Y59&gt;8,"SOBRECARGA ","")&amp;IF($X59&gt;0,"DESVÍO-PLAN ",""),"")</f>
      </c>
    </row>
    <row r="60">
      <c r="A60" s="201">
        <f>ROW()</f>
      </c>
      <c r="B60" s="201">
        <f>ISTEXT('Proyecto Datos (OKR´s)'!$K60)</f>
      </c>
      <c r="C60" s="201">
        <f>AND(LEN('Proyecto Datos (OKR´s)'!$G60)&gt;0,NOT($B60),OR(ISNUMBER('Proyecto Datos (OKR´s)'!$F60),ISNUMBER('Proyecto Datos (OKR´s)'!$L60)))</f>
      </c>
      <c r="D60" s="202">
        <f>IF($C60,IFERROR(LOOKUP(2,1/((ISTEXT('Proyecto Datos (OKR´s)'!$K$7:$K60))*(LEN('Proyecto Datos (OKR´s)'!$G$7:$G60)&gt;0)),'Proyecto Datos (OKR´s)'!$G$7:$G60),""),"")</f>
      </c>
      <c r="E60" s="201">
        <f>IF($C60,'Proyecto Datos (OKR´s)'!$E60,"")</f>
      </c>
      <c r="F60" s="202">
        <f>IF($C60,'Proyecto Datos (OKR´s)'!$G60,"")</f>
      </c>
      <c r="G60" s="202">
        <f>IF($C60,IF('Proyecto Datos (OKR´s)'!$I60="","(Sin asignar)",'Proyecto Datos (OKR´s)'!$I60),"")</f>
      </c>
      <c r="H60" s="201">
        <f>IF($C60,IF(ISNUMBER('Proyecto Datos (OKR´s)'!$F60),'Proyecto Datos (OKR´s)'!$F60,'Proyecto Datos (OKR´s)'!$L60),"")</f>
      </c>
      <c r="I60" s="201">
        <f>IF($C60,'Proyecto Datos (OKR´s)'!$J60,"")</f>
      </c>
      <c r="J60" s="202">
        <f>IF($C60,IF($I60&gt;=1,"Completado",IF($H60&lt;TODAY(),"Vencido",IF(($H60-TODAY())&lt;='Entregas Próximas'!$M$3,"Próximo a vencer","En curso"))),"")</f>
      </c>
      <c r="K60" s="201">
        <f>IF($C60,$H60-TODAY(),"")</f>
      </c>
      <c r="L60" s="201">
        <f>IF($C60,$AD60*1000000+$H60+ROW()/100000,"")</f>
      </c>
      <c r="M60" s="201">
        <f>IF($C60,IF($AD60=9999,"(Sin sprint)",$AD60),"")</f>
      </c>
      <c r="N60" s="201">
        <f>IF($C60,IF('Proyecto Datos (OKR´s)'!$E60="",9999,'Proyecto Datos (OKR´s)'!$E60),"")</f>
      </c>
      <c r="O60" s="201">
        <f>IF($C60,"T"&amp;TEXT(ROW(),"000"),"")</f>
      </c>
      <c r="R60" s="201">
        <f>IF($C60,IF(ISNUMBER('Proyecto Datos (OKR´s)'!$L60),'Proyecto Datos (OKR´s)'!$L60,$H60),"")</f>
      </c>
      <c r="S60" s="201">
        <f>IF($C60,$R60-'Proyecto Datos (OKR´s)'!$K60+1,"")</f>
      </c>
      <c r="T60" s="201">
        <f>IF($C60,MAX(0,TODAY()-'Proyecto Datos (OKR´s)'!$K60),"")</f>
      </c>
      <c r="U60" s="201">
        <f>IF($C60,MEDIAN(0,(TODAY()-'Proyecto Datos (OKR´s)'!$K60)/MAX(1,$R60-'Proyecto Datos (OKR´s)'!$K60),1),"")</f>
      </c>
      <c r="V60" s="201">
        <f>IF($C60,$I60-$U60,"")</f>
      </c>
      <c r="W60" s="201">
        <f>IF($C60,IF($J60="Completado",0,MAX(0,TODAY()-$H60)),"")</f>
      </c>
      <c r="X60" s="201">
        <f>IF($C60,IF(ISNUMBER($H60),$R60-$H60,0),"")</f>
      </c>
      <c r="Y60" s="201">
        <f>IF($C60,COUNTIFS($G$7:$G$200,$G60,$J$7:$J$200,"&lt;&gt;Completado",$J$7:$J$200,"&lt;&gt;"),"")</f>
      </c>
      <c r="Z60" s="201">
        <f>IF($C60,AND($I60=0,'Proyecto Datos (OKR´s)'!$K60&lt;=TODAY(),$J60&lt;&gt;"Completado"),"")</f>
      </c>
      <c r="AA60" s="201">
        <f>IF($C60,ROUND(100*(0.35*$AK60+0.3*$AL60+0.2*$AM60+0.15*MEDIAN(0,($Y60-4)/8,1)),0),"")</f>
      </c>
      <c r="AB60" s="202">
        <f>IF($C60,IF($J60="Completado","—",IF($AA60&gt;=70,"Crítica",IF($AA60&gt;=45,"Alta",IF($AA60&gt;=25,"Media","Baja")))),"")</f>
      </c>
      <c r="AC60" s="202">
        <f>IF($C60,IF(LEN(TRIM($AN60))=0,"—",TRIM($AN60)),"")</f>
      </c>
      <c r="AD60" s="201">
        <f>IF($C60,IF($N60=9999,9999,IF($J60="Completado",$N60,MAX($N60,'Historial de Sprints'!$C$7))),"")</f>
      </c>
      <c r="AE60" s="201">
        <f>IF($C60,IF($AD60=9999,"(Sin sprint)",$AD60),"")</f>
      </c>
      <c r="AF60" s="201">
        <f>IF($C60,AND($N60&lt;&gt;9999,$AD60&lt;&gt;$N60),FALSE)</f>
      </c>
      <c r="AG60" s="201">
        <f>IF($AF60,'Historial de Sprints'!$C$5+$N60*'Historial de Sprints'!$C$6-1,"")</f>
      </c>
      <c r="AH60" s="202">
        <f>IF($AF60,"No completada al cierre del Sprint "&amp;$N60&amp;" -&gt; reasignada al Sprint "&amp;$AD60,"")</f>
      </c>
      <c r="AI60" s="201">
        <f>IF($AF60,$N60*100000+ROW(),"")</f>
      </c>
      <c r="AJ60" s="201">
        <f>IF($C60,$AA60*1000000-MEDIAN(-9999,$K60,9999)*100+(300-ROW()),"")</f>
      </c>
      <c r="AK60" s="201">
        <f>IF($C60,IF($J60="Completado",0,IF($K60&lt;0,1,IF($K60&lt;=3,0.9,IF($K60&lt;=7,0.7,IF($K60&lt;=14,0.45,0.2))))),"")</f>
      </c>
      <c r="AL60" s="201">
        <f>IF($C60,IF($J60="Completado",0,MEDIAN(0,MAX(-$V60,$W60/30),1)),"")</f>
      </c>
      <c r="AM60" s="201">
        <f>IF($C60,IF($J60="Completado",0,IF($Z60,1,IF(AND($I60&lt;0.5,$K60&lt;=7),0.7,0.3))),"")</f>
      </c>
      <c r="AN60" s="202">
        <f>IF($C60,IF(OR($V60&lt;-0.2,$W60&gt;0),"ATRASO ","")&amp;IF($Z60,"BLOQUEO ","")&amp;IF($Y60&gt;8,"SOBRECARGA ","")&amp;IF($X60&gt;0,"DESVÍO-PLAN ",""),"")</f>
      </c>
    </row>
    <row r="61">
      <c r="A61" s="201">
        <f>ROW()</f>
      </c>
      <c r="B61" s="201">
        <f>ISTEXT('Proyecto Datos (OKR´s)'!$K61)</f>
      </c>
      <c r="C61" s="201">
        <f>AND(LEN('Proyecto Datos (OKR´s)'!$G61)&gt;0,NOT($B61),OR(ISNUMBER('Proyecto Datos (OKR´s)'!$F61),ISNUMBER('Proyecto Datos (OKR´s)'!$L61)))</f>
      </c>
      <c r="D61" s="202">
        <f>IF($C61,IFERROR(LOOKUP(2,1/((ISTEXT('Proyecto Datos (OKR´s)'!$K$7:$K61))*(LEN('Proyecto Datos (OKR´s)'!$G$7:$G61)&gt;0)),'Proyecto Datos (OKR´s)'!$G$7:$G61),""),"")</f>
      </c>
      <c r="E61" s="201">
        <f>IF($C61,'Proyecto Datos (OKR´s)'!$E61,"")</f>
      </c>
      <c r="F61" s="202">
        <f>IF($C61,'Proyecto Datos (OKR´s)'!$G61,"")</f>
      </c>
      <c r="G61" s="202">
        <f>IF($C61,IF('Proyecto Datos (OKR´s)'!$I61="","(Sin asignar)",'Proyecto Datos (OKR´s)'!$I61),"")</f>
      </c>
      <c r="H61" s="201">
        <f>IF($C61,IF(ISNUMBER('Proyecto Datos (OKR´s)'!$F61),'Proyecto Datos (OKR´s)'!$F61,'Proyecto Datos (OKR´s)'!$L61),"")</f>
      </c>
      <c r="I61" s="201">
        <f>IF($C61,'Proyecto Datos (OKR´s)'!$J61,"")</f>
      </c>
      <c r="J61" s="202">
        <f>IF($C61,IF($I61&gt;=1,"Completado",IF($H61&lt;TODAY(),"Vencido",IF(($H61-TODAY())&lt;='Entregas Próximas'!$M$3,"Próximo a vencer","En curso"))),"")</f>
      </c>
      <c r="K61" s="201">
        <f>IF($C61,$H61-TODAY(),"")</f>
      </c>
      <c r="L61" s="201">
        <f>IF($C61,$AD61*1000000+$H61+ROW()/100000,"")</f>
      </c>
      <c r="M61" s="201">
        <f>IF($C61,IF($AD61=9999,"(Sin sprint)",$AD61),"")</f>
      </c>
      <c r="N61" s="201">
        <f>IF($C61,IF('Proyecto Datos (OKR´s)'!$E61="",9999,'Proyecto Datos (OKR´s)'!$E61),"")</f>
      </c>
      <c r="O61" s="201">
        <f>IF($C61,"T"&amp;TEXT(ROW(),"000"),"")</f>
      </c>
      <c r="R61" s="201">
        <f>IF($C61,IF(ISNUMBER('Proyecto Datos (OKR´s)'!$L61),'Proyecto Datos (OKR´s)'!$L61,$H61),"")</f>
      </c>
      <c r="S61" s="201">
        <f>IF($C61,$R61-'Proyecto Datos (OKR´s)'!$K61+1,"")</f>
      </c>
      <c r="T61" s="201">
        <f>IF($C61,MAX(0,TODAY()-'Proyecto Datos (OKR´s)'!$K61),"")</f>
      </c>
      <c r="U61" s="201">
        <f>IF($C61,MEDIAN(0,(TODAY()-'Proyecto Datos (OKR´s)'!$K61)/MAX(1,$R61-'Proyecto Datos (OKR´s)'!$K61),1),"")</f>
      </c>
      <c r="V61" s="201">
        <f>IF($C61,$I61-$U61,"")</f>
      </c>
      <c r="W61" s="201">
        <f>IF($C61,IF($J61="Completado",0,MAX(0,TODAY()-$H61)),"")</f>
      </c>
      <c r="X61" s="201">
        <f>IF($C61,IF(ISNUMBER($H61),$R61-$H61,0),"")</f>
      </c>
      <c r="Y61" s="201">
        <f>IF($C61,COUNTIFS($G$7:$G$200,$G61,$J$7:$J$200,"&lt;&gt;Completado",$J$7:$J$200,"&lt;&gt;"),"")</f>
      </c>
      <c r="Z61" s="201">
        <f>IF($C61,AND($I61=0,'Proyecto Datos (OKR´s)'!$K61&lt;=TODAY(),$J61&lt;&gt;"Completado"),"")</f>
      </c>
      <c r="AA61" s="201">
        <f>IF($C61,ROUND(100*(0.35*$AK61+0.3*$AL61+0.2*$AM61+0.15*MEDIAN(0,($Y61-4)/8,1)),0),"")</f>
      </c>
      <c r="AB61" s="202">
        <f>IF($C61,IF($J61="Completado","—",IF($AA61&gt;=70,"Crítica",IF($AA61&gt;=45,"Alta",IF($AA61&gt;=25,"Media","Baja")))),"")</f>
      </c>
      <c r="AC61" s="202">
        <f>IF($C61,IF(LEN(TRIM($AN61))=0,"—",TRIM($AN61)),"")</f>
      </c>
      <c r="AD61" s="201">
        <f>IF($C61,IF($N61=9999,9999,IF($J61="Completado",$N61,MAX($N61,'Historial de Sprints'!$C$7))),"")</f>
      </c>
      <c r="AE61" s="201">
        <f>IF($C61,IF($AD61=9999,"(Sin sprint)",$AD61),"")</f>
      </c>
      <c r="AF61" s="201">
        <f>IF($C61,AND($N61&lt;&gt;9999,$AD61&lt;&gt;$N61),FALSE)</f>
      </c>
      <c r="AG61" s="201">
        <f>IF($AF61,'Historial de Sprints'!$C$5+$N61*'Historial de Sprints'!$C$6-1,"")</f>
      </c>
      <c r="AH61" s="202">
        <f>IF($AF61,"No completada al cierre del Sprint "&amp;$N61&amp;" -&gt; reasignada al Sprint "&amp;$AD61,"")</f>
      </c>
      <c r="AI61" s="201">
        <f>IF($AF61,$N61*100000+ROW(),"")</f>
      </c>
      <c r="AJ61" s="201">
        <f>IF($C61,$AA61*1000000-MEDIAN(-9999,$K61,9999)*100+(300-ROW()),"")</f>
      </c>
      <c r="AK61" s="201">
        <f>IF($C61,IF($J61="Completado",0,IF($K61&lt;0,1,IF($K61&lt;=3,0.9,IF($K61&lt;=7,0.7,IF($K61&lt;=14,0.45,0.2))))),"")</f>
      </c>
      <c r="AL61" s="201">
        <f>IF($C61,IF($J61="Completado",0,MEDIAN(0,MAX(-$V61,$W61/30),1)),"")</f>
      </c>
      <c r="AM61" s="201">
        <f>IF($C61,IF($J61="Completado",0,IF($Z61,1,IF(AND($I61&lt;0.5,$K61&lt;=7),0.7,0.3))),"")</f>
      </c>
      <c r="AN61" s="202">
        <f>IF($C61,IF(OR($V61&lt;-0.2,$W61&gt;0),"ATRASO ","")&amp;IF($Z61,"BLOQUEO ","")&amp;IF($Y61&gt;8,"SOBRECARGA ","")&amp;IF($X61&gt;0,"DESVÍO-PLAN ",""),"")</f>
      </c>
    </row>
    <row r="62">
      <c r="A62" s="201">
        <f>ROW()</f>
      </c>
      <c r="B62" s="201">
        <f>ISTEXT('Proyecto Datos (OKR´s)'!$K62)</f>
      </c>
      <c r="C62" s="201">
        <f>AND(LEN('Proyecto Datos (OKR´s)'!$G62)&gt;0,NOT($B62),OR(ISNUMBER('Proyecto Datos (OKR´s)'!$F62),ISNUMBER('Proyecto Datos (OKR´s)'!$L62)))</f>
      </c>
      <c r="D62" s="202">
        <f>IF($C62,IFERROR(LOOKUP(2,1/((ISTEXT('Proyecto Datos (OKR´s)'!$K$7:$K62))*(LEN('Proyecto Datos (OKR´s)'!$G$7:$G62)&gt;0)),'Proyecto Datos (OKR´s)'!$G$7:$G62),""),"")</f>
      </c>
      <c r="E62" s="201">
        <f>IF($C62,'Proyecto Datos (OKR´s)'!$E62,"")</f>
      </c>
      <c r="F62" s="202">
        <f>IF($C62,'Proyecto Datos (OKR´s)'!$G62,"")</f>
      </c>
      <c r="G62" s="202">
        <f>IF($C62,IF('Proyecto Datos (OKR´s)'!$I62="","(Sin asignar)",'Proyecto Datos (OKR´s)'!$I62),"")</f>
      </c>
      <c r="H62" s="201">
        <f>IF($C62,IF(ISNUMBER('Proyecto Datos (OKR´s)'!$F62),'Proyecto Datos (OKR´s)'!$F62,'Proyecto Datos (OKR´s)'!$L62),"")</f>
      </c>
      <c r="I62" s="201">
        <f>IF($C62,'Proyecto Datos (OKR´s)'!$J62,"")</f>
      </c>
      <c r="J62" s="202">
        <f>IF($C62,IF($I62&gt;=1,"Completado",IF($H62&lt;TODAY(),"Vencido",IF(($H62-TODAY())&lt;='Entregas Próximas'!$M$3,"Próximo a vencer","En curso"))),"")</f>
      </c>
      <c r="K62" s="201">
        <f>IF($C62,$H62-TODAY(),"")</f>
      </c>
      <c r="L62" s="201">
        <f>IF($C62,$AD62*1000000+$H62+ROW()/100000,"")</f>
      </c>
      <c r="M62" s="201">
        <f>IF($C62,IF($AD62=9999,"(Sin sprint)",$AD62),"")</f>
      </c>
      <c r="N62" s="201">
        <f>IF($C62,IF('Proyecto Datos (OKR´s)'!$E62="",9999,'Proyecto Datos (OKR´s)'!$E62),"")</f>
      </c>
      <c r="O62" s="201">
        <f>IF($C62,"T"&amp;TEXT(ROW(),"000"),"")</f>
      </c>
      <c r="R62" s="201">
        <f>IF($C62,IF(ISNUMBER('Proyecto Datos (OKR´s)'!$L62),'Proyecto Datos (OKR´s)'!$L62,$H62),"")</f>
      </c>
      <c r="S62" s="201">
        <f>IF($C62,$R62-'Proyecto Datos (OKR´s)'!$K62+1,"")</f>
      </c>
      <c r="T62" s="201">
        <f>IF($C62,MAX(0,TODAY()-'Proyecto Datos (OKR´s)'!$K62),"")</f>
      </c>
      <c r="U62" s="201">
        <f>IF($C62,MEDIAN(0,(TODAY()-'Proyecto Datos (OKR´s)'!$K62)/MAX(1,$R62-'Proyecto Datos (OKR´s)'!$K62),1),"")</f>
      </c>
      <c r="V62" s="201">
        <f>IF($C62,$I62-$U62,"")</f>
      </c>
      <c r="W62" s="201">
        <f>IF($C62,IF($J62="Completado",0,MAX(0,TODAY()-$H62)),"")</f>
      </c>
      <c r="X62" s="201">
        <f>IF($C62,IF(ISNUMBER($H62),$R62-$H62,0),"")</f>
      </c>
      <c r="Y62" s="201">
        <f>IF($C62,COUNTIFS($G$7:$G$200,$G62,$J$7:$J$200,"&lt;&gt;Completado",$J$7:$J$200,"&lt;&gt;"),"")</f>
      </c>
      <c r="Z62" s="201">
        <f>IF($C62,AND($I62=0,'Proyecto Datos (OKR´s)'!$K62&lt;=TODAY(),$J62&lt;&gt;"Completado"),"")</f>
      </c>
      <c r="AA62" s="201">
        <f>IF($C62,ROUND(100*(0.35*$AK62+0.3*$AL62+0.2*$AM62+0.15*MEDIAN(0,($Y62-4)/8,1)),0),"")</f>
      </c>
      <c r="AB62" s="202">
        <f>IF($C62,IF($J62="Completado","—",IF($AA62&gt;=70,"Crítica",IF($AA62&gt;=45,"Alta",IF($AA62&gt;=25,"Media","Baja")))),"")</f>
      </c>
      <c r="AC62" s="202">
        <f>IF($C62,IF(LEN(TRIM($AN62))=0,"—",TRIM($AN62)),"")</f>
      </c>
      <c r="AD62" s="201">
        <f>IF($C62,IF($N62=9999,9999,IF($J62="Completado",$N62,MAX($N62,'Historial de Sprints'!$C$7))),"")</f>
      </c>
      <c r="AE62" s="201">
        <f>IF($C62,IF($AD62=9999,"(Sin sprint)",$AD62),"")</f>
      </c>
      <c r="AF62" s="201">
        <f>IF($C62,AND($N62&lt;&gt;9999,$AD62&lt;&gt;$N62),FALSE)</f>
      </c>
      <c r="AG62" s="201">
        <f>IF($AF62,'Historial de Sprints'!$C$5+$N62*'Historial de Sprints'!$C$6-1,"")</f>
      </c>
      <c r="AH62" s="202">
        <f>IF($AF62,"No completada al cierre del Sprint "&amp;$N62&amp;" -&gt; reasignada al Sprint "&amp;$AD62,"")</f>
      </c>
      <c r="AI62" s="201">
        <f>IF($AF62,$N62*100000+ROW(),"")</f>
      </c>
      <c r="AJ62" s="201">
        <f>IF($C62,$AA62*1000000-MEDIAN(-9999,$K62,9999)*100+(300-ROW()),"")</f>
      </c>
      <c r="AK62" s="201">
        <f>IF($C62,IF($J62="Completado",0,IF($K62&lt;0,1,IF($K62&lt;=3,0.9,IF($K62&lt;=7,0.7,IF($K62&lt;=14,0.45,0.2))))),"")</f>
      </c>
      <c r="AL62" s="201">
        <f>IF($C62,IF($J62="Completado",0,MEDIAN(0,MAX(-$V62,$W62/30),1)),"")</f>
      </c>
      <c r="AM62" s="201">
        <f>IF($C62,IF($J62="Completado",0,IF($Z62,1,IF(AND($I62&lt;0.5,$K62&lt;=7),0.7,0.3))),"")</f>
      </c>
      <c r="AN62" s="202">
        <f>IF($C62,IF(OR($V62&lt;-0.2,$W62&gt;0),"ATRASO ","")&amp;IF($Z62,"BLOQUEO ","")&amp;IF($Y62&gt;8,"SOBRECARGA ","")&amp;IF($X62&gt;0,"DESVÍO-PLAN ",""),"")</f>
      </c>
    </row>
    <row r="63">
      <c r="A63" s="201">
        <f>ROW()</f>
      </c>
      <c r="B63" s="201">
        <f>ISTEXT('Proyecto Datos (OKR´s)'!$K63)</f>
      </c>
      <c r="C63" s="201">
        <f>AND(LEN('Proyecto Datos (OKR´s)'!$G63)&gt;0,NOT($B63),OR(ISNUMBER('Proyecto Datos (OKR´s)'!$F63),ISNUMBER('Proyecto Datos (OKR´s)'!$L63)))</f>
      </c>
      <c r="D63" s="202">
        <f>IF($C63,IFERROR(LOOKUP(2,1/((ISTEXT('Proyecto Datos (OKR´s)'!$K$7:$K63))*(LEN('Proyecto Datos (OKR´s)'!$G$7:$G63)&gt;0)),'Proyecto Datos (OKR´s)'!$G$7:$G63),""),"")</f>
      </c>
      <c r="E63" s="201">
        <f>IF($C63,'Proyecto Datos (OKR´s)'!$E63,"")</f>
      </c>
      <c r="F63" s="202">
        <f>IF($C63,'Proyecto Datos (OKR´s)'!$G63,"")</f>
      </c>
      <c r="G63" s="202">
        <f>IF($C63,IF('Proyecto Datos (OKR´s)'!$I63="","(Sin asignar)",'Proyecto Datos (OKR´s)'!$I63),"")</f>
      </c>
      <c r="H63" s="201">
        <f>IF($C63,IF(ISNUMBER('Proyecto Datos (OKR´s)'!$F63),'Proyecto Datos (OKR´s)'!$F63,'Proyecto Datos (OKR´s)'!$L63),"")</f>
      </c>
      <c r="I63" s="201">
        <f>IF($C63,'Proyecto Datos (OKR´s)'!$J63,"")</f>
      </c>
      <c r="J63" s="202">
        <f>IF($C63,IF($I63&gt;=1,"Completado",IF($H63&lt;TODAY(),"Vencido",IF(($H63-TODAY())&lt;='Entregas Próximas'!$M$3,"Próximo a vencer","En curso"))),"")</f>
      </c>
      <c r="K63" s="201">
        <f>IF($C63,$H63-TODAY(),"")</f>
      </c>
      <c r="L63" s="201">
        <f>IF($C63,$AD63*1000000+$H63+ROW()/100000,"")</f>
      </c>
      <c r="M63" s="201">
        <f>IF($C63,IF($AD63=9999,"(Sin sprint)",$AD63),"")</f>
      </c>
      <c r="N63" s="201">
        <f>IF($C63,IF('Proyecto Datos (OKR´s)'!$E63="",9999,'Proyecto Datos (OKR´s)'!$E63),"")</f>
      </c>
      <c r="O63" s="201">
        <f>IF($C63,"T"&amp;TEXT(ROW(),"000"),"")</f>
      </c>
      <c r="R63" s="201">
        <f>IF($C63,IF(ISNUMBER('Proyecto Datos (OKR´s)'!$L63),'Proyecto Datos (OKR´s)'!$L63,$H63),"")</f>
      </c>
      <c r="S63" s="201">
        <f>IF($C63,$R63-'Proyecto Datos (OKR´s)'!$K63+1,"")</f>
      </c>
      <c r="T63" s="201">
        <f>IF($C63,MAX(0,TODAY()-'Proyecto Datos (OKR´s)'!$K63),"")</f>
      </c>
      <c r="U63" s="201">
        <f>IF($C63,MEDIAN(0,(TODAY()-'Proyecto Datos (OKR´s)'!$K63)/MAX(1,$R63-'Proyecto Datos (OKR´s)'!$K63),1),"")</f>
      </c>
      <c r="V63" s="201">
        <f>IF($C63,$I63-$U63,"")</f>
      </c>
      <c r="W63" s="201">
        <f>IF($C63,IF($J63="Completado",0,MAX(0,TODAY()-$H63)),"")</f>
      </c>
      <c r="X63" s="201">
        <f>IF($C63,IF(ISNUMBER($H63),$R63-$H63,0),"")</f>
      </c>
      <c r="Y63" s="201">
        <f>IF($C63,COUNTIFS($G$7:$G$200,$G63,$J$7:$J$200,"&lt;&gt;Completado",$J$7:$J$200,"&lt;&gt;"),"")</f>
      </c>
      <c r="Z63" s="201">
        <f>IF($C63,AND($I63=0,'Proyecto Datos (OKR´s)'!$K63&lt;=TODAY(),$J63&lt;&gt;"Completado"),"")</f>
      </c>
      <c r="AA63" s="201">
        <f>IF($C63,ROUND(100*(0.35*$AK63+0.3*$AL63+0.2*$AM63+0.15*MEDIAN(0,($Y63-4)/8,1)),0),"")</f>
      </c>
      <c r="AB63" s="202">
        <f>IF($C63,IF($J63="Completado","—",IF($AA63&gt;=70,"Crítica",IF($AA63&gt;=45,"Alta",IF($AA63&gt;=25,"Media","Baja")))),"")</f>
      </c>
      <c r="AC63" s="202">
        <f>IF($C63,IF(LEN(TRIM($AN63))=0,"—",TRIM($AN63)),"")</f>
      </c>
      <c r="AD63" s="201">
        <f>IF($C63,IF($N63=9999,9999,IF($J63="Completado",$N63,MAX($N63,'Historial de Sprints'!$C$7))),"")</f>
      </c>
      <c r="AE63" s="201">
        <f>IF($C63,IF($AD63=9999,"(Sin sprint)",$AD63),"")</f>
      </c>
      <c r="AF63" s="201">
        <f>IF($C63,AND($N63&lt;&gt;9999,$AD63&lt;&gt;$N63),FALSE)</f>
      </c>
      <c r="AG63" s="201">
        <f>IF($AF63,'Historial de Sprints'!$C$5+$N63*'Historial de Sprints'!$C$6-1,"")</f>
      </c>
      <c r="AH63" s="202">
        <f>IF($AF63,"No completada al cierre del Sprint "&amp;$N63&amp;" -&gt; reasignada al Sprint "&amp;$AD63,"")</f>
      </c>
      <c r="AI63" s="201">
        <f>IF($AF63,$N63*100000+ROW(),"")</f>
      </c>
      <c r="AJ63" s="201">
        <f>IF($C63,$AA63*1000000-MEDIAN(-9999,$K63,9999)*100+(300-ROW()),"")</f>
      </c>
      <c r="AK63" s="201">
        <f>IF($C63,IF($J63="Completado",0,IF($K63&lt;0,1,IF($K63&lt;=3,0.9,IF($K63&lt;=7,0.7,IF($K63&lt;=14,0.45,0.2))))),"")</f>
      </c>
      <c r="AL63" s="201">
        <f>IF($C63,IF($J63="Completado",0,MEDIAN(0,MAX(-$V63,$W63/30),1)),"")</f>
      </c>
      <c r="AM63" s="201">
        <f>IF($C63,IF($J63="Completado",0,IF($Z63,1,IF(AND($I63&lt;0.5,$K63&lt;=7),0.7,0.3))),"")</f>
      </c>
      <c r="AN63" s="202">
        <f>IF($C63,IF(OR($V63&lt;-0.2,$W63&gt;0),"ATRASO ","")&amp;IF($Z63,"BLOQUEO ","")&amp;IF($Y63&gt;8,"SOBRECARGA ","")&amp;IF($X63&gt;0,"DESVÍO-PLAN ",""),"")</f>
      </c>
    </row>
    <row r="64">
      <c r="A64" s="201">
        <f>ROW()</f>
      </c>
      <c r="B64" s="201">
        <f>ISTEXT('Proyecto Datos (OKR´s)'!$K64)</f>
      </c>
      <c r="C64" s="201">
        <f>AND(LEN('Proyecto Datos (OKR´s)'!$G64)&gt;0,NOT($B64),OR(ISNUMBER('Proyecto Datos (OKR´s)'!$F64),ISNUMBER('Proyecto Datos (OKR´s)'!$L64)))</f>
      </c>
      <c r="D64" s="202">
        <f>IF($C64,IFERROR(LOOKUP(2,1/((ISTEXT('Proyecto Datos (OKR´s)'!$K$7:$K64))*(LEN('Proyecto Datos (OKR´s)'!$G$7:$G64)&gt;0)),'Proyecto Datos (OKR´s)'!$G$7:$G64),""),"")</f>
      </c>
      <c r="E64" s="201">
        <f>IF($C64,'Proyecto Datos (OKR´s)'!$E64,"")</f>
      </c>
      <c r="F64" s="202">
        <f>IF($C64,'Proyecto Datos (OKR´s)'!$G64,"")</f>
      </c>
      <c r="G64" s="202">
        <f>IF($C64,IF('Proyecto Datos (OKR´s)'!$I64="","(Sin asignar)",'Proyecto Datos (OKR´s)'!$I64),"")</f>
      </c>
      <c r="H64" s="201">
        <f>IF($C64,IF(ISNUMBER('Proyecto Datos (OKR´s)'!$F64),'Proyecto Datos (OKR´s)'!$F64,'Proyecto Datos (OKR´s)'!$L64),"")</f>
      </c>
      <c r="I64" s="201">
        <f>IF($C64,'Proyecto Datos (OKR´s)'!$J64,"")</f>
      </c>
      <c r="J64" s="202">
        <f>IF($C64,IF($I64&gt;=1,"Completado",IF($H64&lt;TODAY(),"Vencido",IF(($H64-TODAY())&lt;='Entregas Próximas'!$M$3,"Próximo a vencer","En curso"))),"")</f>
      </c>
      <c r="K64" s="201">
        <f>IF($C64,$H64-TODAY(),"")</f>
      </c>
      <c r="L64" s="201">
        <f>IF($C64,$AD64*1000000+$H64+ROW()/100000,"")</f>
      </c>
      <c r="M64" s="201">
        <f>IF($C64,IF($AD64=9999,"(Sin sprint)",$AD64),"")</f>
      </c>
      <c r="N64" s="201">
        <f>IF($C64,IF('Proyecto Datos (OKR´s)'!$E64="",9999,'Proyecto Datos (OKR´s)'!$E64),"")</f>
      </c>
      <c r="O64" s="201">
        <f>IF($C64,"T"&amp;TEXT(ROW(),"000"),"")</f>
      </c>
      <c r="R64" s="201">
        <f>IF($C64,IF(ISNUMBER('Proyecto Datos (OKR´s)'!$L64),'Proyecto Datos (OKR´s)'!$L64,$H64),"")</f>
      </c>
      <c r="S64" s="201">
        <f>IF($C64,$R64-'Proyecto Datos (OKR´s)'!$K64+1,"")</f>
      </c>
      <c r="T64" s="201">
        <f>IF($C64,MAX(0,TODAY()-'Proyecto Datos (OKR´s)'!$K64),"")</f>
      </c>
      <c r="U64" s="201">
        <f>IF($C64,MEDIAN(0,(TODAY()-'Proyecto Datos (OKR´s)'!$K64)/MAX(1,$R64-'Proyecto Datos (OKR´s)'!$K64),1),"")</f>
      </c>
      <c r="V64" s="201">
        <f>IF($C64,$I64-$U64,"")</f>
      </c>
      <c r="W64" s="201">
        <f>IF($C64,IF($J64="Completado",0,MAX(0,TODAY()-$H64)),"")</f>
      </c>
      <c r="X64" s="201">
        <f>IF($C64,IF(ISNUMBER($H64),$R64-$H64,0),"")</f>
      </c>
      <c r="Y64" s="201">
        <f>IF($C64,COUNTIFS($G$7:$G$200,$G64,$J$7:$J$200,"&lt;&gt;Completado",$J$7:$J$200,"&lt;&gt;"),"")</f>
      </c>
      <c r="Z64" s="201">
        <f>IF($C64,AND($I64=0,'Proyecto Datos (OKR´s)'!$K64&lt;=TODAY(),$J64&lt;&gt;"Completado"),"")</f>
      </c>
      <c r="AA64" s="201">
        <f>IF($C64,ROUND(100*(0.35*$AK64+0.3*$AL64+0.2*$AM64+0.15*MEDIAN(0,($Y64-4)/8,1)),0),"")</f>
      </c>
      <c r="AB64" s="202">
        <f>IF($C64,IF($J64="Completado","—",IF($AA64&gt;=70,"Crítica",IF($AA64&gt;=45,"Alta",IF($AA64&gt;=25,"Media","Baja")))),"")</f>
      </c>
      <c r="AC64" s="202">
        <f>IF($C64,IF(LEN(TRIM($AN64))=0,"—",TRIM($AN64)),"")</f>
      </c>
      <c r="AD64" s="201">
        <f>IF($C64,IF($N64=9999,9999,IF($J64="Completado",$N64,MAX($N64,'Historial de Sprints'!$C$7))),"")</f>
      </c>
      <c r="AE64" s="201">
        <f>IF($C64,IF($AD64=9999,"(Sin sprint)",$AD64),"")</f>
      </c>
      <c r="AF64" s="201">
        <f>IF($C64,AND($N64&lt;&gt;9999,$AD64&lt;&gt;$N64),FALSE)</f>
      </c>
      <c r="AG64" s="201">
        <f>IF($AF64,'Historial de Sprints'!$C$5+$N64*'Historial de Sprints'!$C$6-1,"")</f>
      </c>
      <c r="AH64" s="202">
        <f>IF($AF64,"No completada al cierre del Sprint "&amp;$N64&amp;" -&gt; reasignada al Sprint "&amp;$AD64,"")</f>
      </c>
      <c r="AI64" s="201">
        <f>IF($AF64,$N64*100000+ROW(),"")</f>
      </c>
      <c r="AJ64" s="201">
        <f>IF($C64,$AA64*1000000-MEDIAN(-9999,$K64,9999)*100+(300-ROW()),"")</f>
      </c>
      <c r="AK64" s="201">
        <f>IF($C64,IF($J64="Completado",0,IF($K64&lt;0,1,IF($K64&lt;=3,0.9,IF($K64&lt;=7,0.7,IF($K64&lt;=14,0.45,0.2))))),"")</f>
      </c>
      <c r="AL64" s="201">
        <f>IF($C64,IF($J64="Completado",0,MEDIAN(0,MAX(-$V64,$W64/30),1)),"")</f>
      </c>
      <c r="AM64" s="201">
        <f>IF($C64,IF($J64="Completado",0,IF($Z64,1,IF(AND($I64&lt;0.5,$K64&lt;=7),0.7,0.3))),"")</f>
      </c>
      <c r="AN64" s="202">
        <f>IF($C64,IF(OR($V64&lt;-0.2,$W64&gt;0),"ATRASO ","")&amp;IF($Z64,"BLOQUEO ","")&amp;IF($Y64&gt;8,"SOBRECARGA ","")&amp;IF($X64&gt;0,"DESVÍO-PLAN ",""),"")</f>
      </c>
    </row>
    <row r="65">
      <c r="A65" s="201">
        <f>ROW()</f>
      </c>
      <c r="B65" s="201">
        <f>ISTEXT('Proyecto Datos (OKR´s)'!$K65)</f>
      </c>
      <c r="C65" s="201">
        <f>AND(LEN('Proyecto Datos (OKR´s)'!$G65)&gt;0,NOT($B65),OR(ISNUMBER('Proyecto Datos (OKR´s)'!$F65),ISNUMBER('Proyecto Datos (OKR´s)'!$L65)))</f>
      </c>
      <c r="D65" s="202">
        <f>IF($C65,IFERROR(LOOKUP(2,1/((ISTEXT('Proyecto Datos (OKR´s)'!$K$7:$K65))*(LEN('Proyecto Datos (OKR´s)'!$G$7:$G65)&gt;0)),'Proyecto Datos (OKR´s)'!$G$7:$G65),""),"")</f>
      </c>
      <c r="E65" s="201">
        <f>IF($C65,'Proyecto Datos (OKR´s)'!$E65,"")</f>
      </c>
      <c r="F65" s="202">
        <f>IF($C65,'Proyecto Datos (OKR´s)'!$G65,"")</f>
      </c>
      <c r="G65" s="202">
        <f>IF($C65,IF('Proyecto Datos (OKR´s)'!$I65="","(Sin asignar)",'Proyecto Datos (OKR´s)'!$I65),"")</f>
      </c>
      <c r="H65" s="201">
        <f>IF($C65,IF(ISNUMBER('Proyecto Datos (OKR´s)'!$F65),'Proyecto Datos (OKR´s)'!$F65,'Proyecto Datos (OKR´s)'!$L65),"")</f>
      </c>
      <c r="I65" s="201">
        <f>IF($C65,'Proyecto Datos (OKR´s)'!$J65,"")</f>
      </c>
      <c r="J65" s="202">
        <f>IF($C65,IF($I65&gt;=1,"Completado",IF($H65&lt;TODAY(),"Vencido",IF(($H65-TODAY())&lt;='Entregas Próximas'!$M$3,"Próximo a vencer","En curso"))),"")</f>
      </c>
      <c r="K65" s="201">
        <f>IF($C65,$H65-TODAY(),"")</f>
      </c>
      <c r="L65" s="201">
        <f>IF($C65,$AD65*1000000+$H65+ROW()/100000,"")</f>
      </c>
      <c r="M65" s="201">
        <f>IF($C65,IF($AD65=9999,"(Sin sprint)",$AD65),"")</f>
      </c>
      <c r="N65" s="201">
        <f>IF($C65,IF('Proyecto Datos (OKR´s)'!$E65="",9999,'Proyecto Datos (OKR´s)'!$E65),"")</f>
      </c>
      <c r="O65" s="201">
        <f>IF($C65,"T"&amp;TEXT(ROW(),"000"),"")</f>
      </c>
      <c r="R65" s="201">
        <f>IF($C65,IF(ISNUMBER('Proyecto Datos (OKR´s)'!$L65),'Proyecto Datos (OKR´s)'!$L65,$H65),"")</f>
      </c>
      <c r="S65" s="201">
        <f>IF($C65,$R65-'Proyecto Datos (OKR´s)'!$K65+1,"")</f>
      </c>
      <c r="T65" s="201">
        <f>IF($C65,MAX(0,TODAY()-'Proyecto Datos (OKR´s)'!$K65),"")</f>
      </c>
      <c r="U65" s="201">
        <f>IF($C65,MEDIAN(0,(TODAY()-'Proyecto Datos (OKR´s)'!$K65)/MAX(1,$R65-'Proyecto Datos (OKR´s)'!$K65),1),"")</f>
      </c>
      <c r="V65" s="201">
        <f>IF($C65,$I65-$U65,"")</f>
      </c>
      <c r="W65" s="201">
        <f>IF($C65,IF($J65="Completado",0,MAX(0,TODAY()-$H65)),"")</f>
      </c>
      <c r="X65" s="201">
        <f>IF($C65,IF(ISNUMBER($H65),$R65-$H65,0),"")</f>
      </c>
      <c r="Y65" s="201">
        <f>IF($C65,COUNTIFS($G$7:$G$200,$G65,$J$7:$J$200,"&lt;&gt;Completado",$J$7:$J$200,"&lt;&gt;"),"")</f>
      </c>
      <c r="Z65" s="201">
        <f>IF($C65,AND($I65=0,'Proyecto Datos (OKR´s)'!$K65&lt;=TODAY(),$J65&lt;&gt;"Completado"),"")</f>
      </c>
      <c r="AA65" s="201">
        <f>IF($C65,ROUND(100*(0.35*$AK65+0.3*$AL65+0.2*$AM65+0.15*MEDIAN(0,($Y65-4)/8,1)),0),"")</f>
      </c>
      <c r="AB65" s="202">
        <f>IF($C65,IF($J65="Completado","—",IF($AA65&gt;=70,"Crítica",IF($AA65&gt;=45,"Alta",IF($AA65&gt;=25,"Media","Baja")))),"")</f>
      </c>
      <c r="AC65" s="202">
        <f>IF($C65,IF(LEN(TRIM($AN65))=0,"—",TRIM($AN65)),"")</f>
      </c>
      <c r="AD65" s="201">
        <f>IF($C65,IF($N65=9999,9999,IF($J65="Completado",$N65,MAX($N65,'Historial de Sprints'!$C$7))),"")</f>
      </c>
      <c r="AE65" s="201">
        <f>IF($C65,IF($AD65=9999,"(Sin sprint)",$AD65),"")</f>
      </c>
      <c r="AF65" s="201">
        <f>IF($C65,AND($N65&lt;&gt;9999,$AD65&lt;&gt;$N65),FALSE)</f>
      </c>
      <c r="AG65" s="201">
        <f>IF($AF65,'Historial de Sprints'!$C$5+$N65*'Historial de Sprints'!$C$6-1,"")</f>
      </c>
      <c r="AH65" s="202">
        <f>IF($AF65,"No completada al cierre del Sprint "&amp;$N65&amp;" -&gt; reasignada al Sprint "&amp;$AD65,"")</f>
      </c>
      <c r="AI65" s="201">
        <f>IF($AF65,$N65*100000+ROW(),"")</f>
      </c>
      <c r="AJ65" s="201">
        <f>IF($C65,$AA65*1000000-MEDIAN(-9999,$K65,9999)*100+(300-ROW()),"")</f>
      </c>
      <c r="AK65" s="201">
        <f>IF($C65,IF($J65="Completado",0,IF($K65&lt;0,1,IF($K65&lt;=3,0.9,IF($K65&lt;=7,0.7,IF($K65&lt;=14,0.45,0.2))))),"")</f>
      </c>
      <c r="AL65" s="201">
        <f>IF($C65,IF($J65="Completado",0,MEDIAN(0,MAX(-$V65,$W65/30),1)),"")</f>
      </c>
      <c r="AM65" s="201">
        <f>IF($C65,IF($J65="Completado",0,IF($Z65,1,IF(AND($I65&lt;0.5,$K65&lt;=7),0.7,0.3))),"")</f>
      </c>
      <c r="AN65" s="202">
        <f>IF($C65,IF(OR($V65&lt;-0.2,$W65&gt;0),"ATRASO ","")&amp;IF($Z65,"BLOQUEO ","")&amp;IF($Y65&gt;8,"SOBRECARGA ","")&amp;IF($X65&gt;0,"DESVÍO-PLAN ",""),"")</f>
      </c>
    </row>
    <row r="66">
      <c r="A66" s="201">
        <f>ROW()</f>
      </c>
      <c r="B66" s="201">
        <f>ISTEXT('Proyecto Datos (OKR´s)'!$K66)</f>
      </c>
      <c r="C66" s="201">
        <f>AND(LEN('Proyecto Datos (OKR´s)'!$G66)&gt;0,NOT($B66),OR(ISNUMBER('Proyecto Datos (OKR´s)'!$F66),ISNUMBER('Proyecto Datos (OKR´s)'!$L66)))</f>
      </c>
      <c r="D66" s="202">
        <f>IF($C66,IFERROR(LOOKUP(2,1/((ISTEXT('Proyecto Datos (OKR´s)'!$K$7:$K66))*(LEN('Proyecto Datos (OKR´s)'!$G$7:$G66)&gt;0)),'Proyecto Datos (OKR´s)'!$G$7:$G66),""),"")</f>
      </c>
      <c r="E66" s="201">
        <f>IF($C66,'Proyecto Datos (OKR´s)'!$E66,"")</f>
      </c>
      <c r="F66" s="202">
        <f>IF($C66,'Proyecto Datos (OKR´s)'!$G66,"")</f>
      </c>
      <c r="G66" s="202">
        <f>IF($C66,IF('Proyecto Datos (OKR´s)'!$I66="","(Sin asignar)",'Proyecto Datos (OKR´s)'!$I66),"")</f>
      </c>
      <c r="H66" s="201">
        <f>IF($C66,IF(ISNUMBER('Proyecto Datos (OKR´s)'!$F66),'Proyecto Datos (OKR´s)'!$F66,'Proyecto Datos (OKR´s)'!$L66),"")</f>
      </c>
      <c r="I66" s="201">
        <f>IF($C66,'Proyecto Datos (OKR´s)'!$J66,"")</f>
      </c>
      <c r="J66" s="202">
        <f>IF($C66,IF($I66&gt;=1,"Completado",IF($H66&lt;TODAY(),"Vencido",IF(($H66-TODAY())&lt;='Entregas Próximas'!$M$3,"Próximo a vencer","En curso"))),"")</f>
      </c>
      <c r="K66" s="201">
        <f>IF($C66,$H66-TODAY(),"")</f>
      </c>
      <c r="L66" s="201">
        <f>IF($C66,$AD66*1000000+$H66+ROW()/100000,"")</f>
      </c>
      <c r="M66" s="201">
        <f>IF($C66,IF($AD66=9999,"(Sin sprint)",$AD66),"")</f>
      </c>
      <c r="N66" s="201">
        <f>IF($C66,IF('Proyecto Datos (OKR´s)'!$E66="",9999,'Proyecto Datos (OKR´s)'!$E66),"")</f>
      </c>
      <c r="O66" s="201">
        <f>IF($C66,"T"&amp;TEXT(ROW(),"000"),"")</f>
      </c>
      <c r="R66" s="201">
        <f>IF($C66,IF(ISNUMBER('Proyecto Datos (OKR´s)'!$L66),'Proyecto Datos (OKR´s)'!$L66,$H66),"")</f>
      </c>
      <c r="S66" s="201">
        <f>IF($C66,$R66-'Proyecto Datos (OKR´s)'!$K66+1,"")</f>
      </c>
      <c r="T66" s="201">
        <f>IF($C66,MAX(0,TODAY()-'Proyecto Datos (OKR´s)'!$K66),"")</f>
      </c>
      <c r="U66" s="201">
        <f>IF($C66,MEDIAN(0,(TODAY()-'Proyecto Datos (OKR´s)'!$K66)/MAX(1,$R66-'Proyecto Datos (OKR´s)'!$K66),1),"")</f>
      </c>
      <c r="V66" s="201">
        <f>IF($C66,$I66-$U66,"")</f>
      </c>
      <c r="W66" s="201">
        <f>IF($C66,IF($J66="Completado",0,MAX(0,TODAY()-$H66)),"")</f>
      </c>
      <c r="X66" s="201">
        <f>IF($C66,IF(ISNUMBER($H66),$R66-$H66,0),"")</f>
      </c>
      <c r="Y66" s="201">
        <f>IF($C66,COUNTIFS($G$7:$G$200,$G66,$J$7:$J$200,"&lt;&gt;Completado",$J$7:$J$200,"&lt;&gt;"),"")</f>
      </c>
      <c r="Z66" s="201">
        <f>IF($C66,AND($I66=0,'Proyecto Datos (OKR´s)'!$K66&lt;=TODAY(),$J66&lt;&gt;"Completado"),"")</f>
      </c>
      <c r="AA66" s="201">
        <f>IF($C66,ROUND(100*(0.35*$AK66+0.3*$AL66+0.2*$AM66+0.15*MEDIAN(0,($Y66-4)/8,1)),0),"")</f>
      </c>
      <c r="AB66" s="202">
        <f>IF($C66,IF($J66="Completado","—",IF($AA66&gt;=70,"Crítica",IF($AA66&gt;=45,"Alta",IF($AA66&gt;=25,"Media","Baja")))),"")</f>
      </c>
      <c r="AC66" s="202">
        <f>IF($C66,IF(LEN(TRIM($AN66))=0,"—",TRIM($AN66)),"")</f>
      </c>
      <c r="AD66" s="201">
        <f>IF($C66,IF($N66=9999,9999,IF($J66="Completado",$N66,MAX($N66,'Historial de Sprints'!$C$7))),"")</f>
      </c>
      <c r="AE66" s="201">
        <f>IF($C66,IF($AD66=9999,"(Sin sprint)",$AD66),"")</f>
      </c>
      <c r="AF66" s="201">
        <f>IF($C66,AND($N66&lt;&gt;9999,$AD66&lt;&gt;$N66),FALSE)</f>
      </c>
      <c r="AG66" s="201">
        <f>IF($AF66,'Historial de Sprints'!$C$5+$N66*'Historial de Sprints'!$C$6-1,"")</f>
      </c>
      <c r="AH66" s="202">
        <f>IF($AF66,"No completada al cierre del Sprint "&amp;$N66&amp;" -&gt; reasignada al Sprint "&amp;$AD66,"")</f>
      </c>
      <c r="AI66" s="201">
        <f>IF($AF66,$N66*100000+ROW(),"")</f>
      </c>
      <c r="AJ66" s="201">
        <f>IF($C66,$AA66*1000000-MEDIAN(-9999,$K66,9999)*100+(300-ROW()),"")</f>
      </c>
      <c r="AK66" s="201">
        <f>IF($C66,IF($J66="Completado",0,IF($K66&lt;0,1,IF($K66&lt;=3,0.9,IF($K66&lt;=7,0.7,IF($K66&lt;=14,0.45,0.2))))),"")</f>
      </c>
      <c r="AL66" s="201">
        <f>IF($C66,IF($J66="Completado",0,MEDIAN(0,MAX(-$V66,$W66/30),1)),"")</f>
      </c>
      <c r="AM66" s="201">
        <f>IF($C66,IF($J66="Completado",0,IF($Z66,1,IF(AND($I66&lt;0.5,$K66&lt;=7),0.7,0.3))),"")</f>
      </c>
      <c r="AN66" s="202">
        <f>IF($C66,IF(OR($V66&lt;-0.2,$W66&gt;0),"ATRASO ","")&amp;IF($Z66,"BLOQUEO ","")&amp;IF($Y66&gt;8,"SOBRECARGA ","")&amp;IF($X66&gt;0,"DESVÍO-PLAN ",""),"")</f>
      </c>
    </row>
    <row r="67">
      <c r="A67" s="201">
        <f>ROW()</f>
      </c>
      <c r="B67" s="201">
        <f>ISTEXT('Proyecto Datos (OKR´s)'!$K67)</f>
      </c>
      <c r="C67" s="201">
        <f>AND(LEN('Proyecto Datos (OKR´s)'!$G67)&gt;0,NOT($B67),OR(ISNUMBER('Proyecto Datos (OKR´s)'!$F67),ISNUMBER('Proyecto Datos (OKR´s)'!$L67)))</f>
      </c>
      <c r="D67" s="202">
        <f>IF($C67,IFERROR(LOOKUP(2,1/((ISTEXT('Proyecto Datos (OKR´s)'!$K$7:$K67))*(LEN('Proyecto Datos (OKR´s)'!$G$7:$G67)&gt;0)),'Proyecto Datos (OKR´s)'!$G$7:$G67),""),"")</f>
      </c>
      <c r="E67" s="201">
        <f>IF($C67,'Proyecto Datos (OKR´s)'!$E67,"")</f>
      </c>
      <c r="F67" s="202">
        <f>IF($C67,'Proyecto Datos (OKR´s)'!$G67,"")</f>
      </c>
      <c r="G67" s="202">
        <f>IF($C67,IF('Proyecto Datos (OKR´s)'!$I67="","(Sin asignar)",'Proyecto Datos (OKR´s)'!$I67),"")</f>
      </c>
      <c r="H67" s="201">
        <f>IF($C67,IF(ISNUMBER('Proyecto Datos (OKR´s)'!$F67),'Proyecto Datos (OKR´s)'!$F67,'Proyecto Datos (OKR´s)'!$L67),"")</f>
      </c>
      <c r="I67" s="201">
        <f>IF($C67,'Proyecto Datos (OKR´s)'!$J67,"")</f>
      </c>
      <c r="J67" s="202">
        <f>IF($C67,IF($I67&gt;=1,"Completado",IF($H67&lt;TODAY(),"Vencido",IF(($H67-TODAY())&lt;='Entregas Próximas'!$M$3,"Próximo a vencer","En curso"))),"")</f>
      </c>
      <c r="K67" s="201">
        <f>IF($C67,$H67-TODAY(),"")</f>
      </c>
      <c r="L67" s="201">
        <f>IF($C67,$AD67*1000000+$H67+ROW()/100000,"")</f>
      </c>
      <c r="M67" s="201">
        <f>IF($C67,IF($AD67=9999,"(Sin sprint)",$AD67),"")</f>
      </c>
      <c r="N67" s="201">
        <f>IF($C67,IF('Proyecto Datos (OKR´s)'!$E67="",9999,'Proyecto Datos (OKR´s)'!$E67),"")</f>
      </c>
      <c r="O67" s="201">
        <f>IF($C67,"T"&amp;TEXT(ROW(),"000"),"")</f>
      </c>
      <c r="R67" s="201">
        <f>IF($C67,IF(ISNUMBER('Proyecto Datos (OKR´s)'!$L67),'Proyecto Datos (OKR´s)'!$L67,$H67),"")</f>
      </c>
      <c r="S67" s="201">
        <f>IF($C67,$R67-'Proyecto Datos (OKR´s)'!$K67+1,"")</f>
      </c>
      <c r="T67" s="201">
        <f>IF($C67,MAX(0,TODAY()-'Proyecto Datos (OKR´s)'!$K67),"")</f>
      </c>
      <c r="U67" s="201">
        <f>IF($C67,MEDIAN(0,(TODAY()-'Proyecto Datos (OKR´s)'!$K67)/MAX(1,$R67-'Proyecto Datos (OKR´s)'!$K67),1),"")</f>
      </c>
      <c r="V67" s="201">
        <f>IF($C67,$I67-$U67,"")</f>
      </c>
      <c r="W67" s="201">
        <f>IF($C67,IF($J67="Completado",0,MAX(0,TODAY()-$H67)),"")</f>
      </c>
      <c r="X67" s="201">
        <f>IF($C67,IF(ISNUMBER($H67),$R67-$H67,0),"")</f>
      </c>
      <c r="Y67" s="201">
        <f>IF($C67,COUNTIFS($G$7:$G$200,$G67,$J$7:$J$200,"&lt;&gt;Completado",$J$7:$J$200,"&lt;&gt;"),"")</f>
      </c>
      <c r="Z67" s="201">
        <f>IF($C67,AND($I67=0,'Proyecto Datos (OKR´s)'!$K67&lt;=TODAY(),$J67&lt;&gt;"Completado"),"")</f>
      </c>
      <c r="AA67" s="201">
        <f>IF($C67,ROUND(100*(0.35*$AK67+0.3*$AL67+0.2*$AM67+0.15*MEDIAN(0,($Y67-4)/8,1)),0),"")</f>
      </c>
      <c r="AB67" s="202">
        <f>IF($C67,IF($J67="Completado","—",IF($AA67&gt;=70,"Crítica",IF($AA67&gt;=45,"Alta",IF($AA67&gt;=25,"Media","Baja")))),"")</f>
      </c>
      <c r="AC67" s="202">
        <f>IF($C67,IF(LEN(TRIM($AN67))=0,"—",TRIM($AN67)),"")</f>
      </c>
      <c r="AD67" s="201">
        <f>IF($C67,IF($N67=9999,9999,IF($J67="Completado",$N67,MAX($N67,'Historial de Sprints'!$C$7))),"")</f>
      </c>
      <c r="AE67" s="201">
        <f>IF($C67,IF($AD67=9999,"(Sin sprint)",$AD67),"")</f>
      </c>
      <c r="AF67" s="201">
        <f>IF($C67,AND($N67&lt;&gt;9999,$AD67&lt;&gt;$N67),FALSE)</f>
      </c>
      <c r="AG67" s="201">
        <f>IF($AF67,'Historial de Sprints'!$C$5+$N67*'Historial de Sprints'!$C$6-1,"")</f>
      </c>
      <c r="AH67" s="202">
        <f>IF($AF67,"No completada al cierre del Sprint "&amp;$N67&amp;" -&gt; reasignada al Sprint "&amp;$AD67,"")</f>
      </c>
      <c r="AI67" s="201">
        <f>IF($AF67,$N67*100000+ROW(),"")</f>
      </c>
      <c r="AJ67" s="201">
        <f>IF($C67,$AA67*1000000-MEDIAN(-9999,$K67,9999)*100+(300-ROW()),"")</f>
      </c>
      <c r="AK67" s="201">
        <f>IF($C67,IF($J67="Completado",0,IF($K67&lt;0,1,IF($K67&lt;=3,0.9,IF($K67&lt;=7,0.7,IF($K67&lt;=14,0.45,0.2))))),"")</f>
      </c>
      <c r="AL67" s="201">
        <f>IF($C67,IF($J67="Completado",0,MEDIAN(0,MAX(-$V67,$W67/30),1)),"")</f>
      </c>
      <c r="AM67" s="201">
        <f>IF($C67,IF($J67="Completado",0,IF($Z67,1,IF(AND($I67&lt;0.5,$K67&lt;=7),0.7,0.3))),"")</f>
      </c>
      <c r="AN67" s="202">
        <f>IF($C67,IF(OR($V67&lt;-0.2,$W67&gt;0),"ATRASO ","")&amp;IF($Z67,"BLOQUEO ","")&amp;IF($Y67&gt;8,"SOBRECARGA ","")&amp;IF($X67&gt;0,"DESVÍO-PLAN ",""),"")</f>
      </c>
    </row>
    <row r="68">
      <c r="A68" s="201">
        <f>ROW()</f>
      </c>
      <c r="B68" s="201">
        <f>ISTEXT('Proyecto Datos (OKR´s)'!$K68)</f>
      </c>
      <c r="C68" s="201">
        <f>AND(LEN('Proyecto Datos (OKR´s)'!$G68)&gt;0,NOT($B68),OR(ISNUMBER('Proyecto Datos (OKR´s)'!$F68),ISNUMBER('Proyecto Datos (OKR´s)'!$L68)))</f>
      </c>
      <c r="D68" s="202">
        <f>IF($C68,IFERROR(LOOKUP(2,1/((ISTEXT('Proyecto Datos (OKR´s)'!$K$7:$K68))*(LEN('Proyecto Datos (OKR´s)'!$G$7:$G68)&gt;0)),'Proyecto Datos (OKR´s)'!$G$7:$G68),""),"")</f>
      </c>
      <c r="E68" s="201">
        <f>IF($C68,'Proyecto Datos (OKR´s)'!$E68,"")</f>
      </c>
      <c r="F68" s="202">
        <f>IF($C68,'Proyecto Datos (OKR´s)'!$G68,"")</f>
      </c>
      <c r="G68" s="202">
        <f>IF($C68,IF('Proyecto Datos (OKR´s)'!$I68="","(Sin asignar)",'Proyecto Datos (OKR´s)'!$I68),"")</f>
      </c>
      <c r="H68" s="201">
        <f>IF($C68,IF(ISNUMBER('Proyecto Datos (OKR´s)'!$F68),'Proyecto Datos (OKR´s)'!$F68,'Proyecto Datos (OKR´s)'!$L68),"")</f>
      </c>
      <c r="I68" s="201">
        <f>IF($C68,'Proyecto Datos (OKR´s)'!$J68,"")</f>
      </c>
      <c r="J68" s="202">
        <f>IF($C68,IF($I68&gt;=1,"Completado",IF($H68&lt;TODAY(),"Vencido",IF(($H68-TODAY())&lt;='Entregas Próximas'!$M$3,"Próximo a vencer","En curso"))),"")</f>
      </c>
      <c r="K68" s="201">
        <f>IF($C68,$H68-TODAY(),"")</f>
      </c>
      <c r="L68" s="201">
        <f>IF($C68,$AD68*1000000+$H68+ROW()/100000,"")</f>
      </c>
      <c r="M68" s="201">
        <f>IF($C68,IF($AD68=9999,"(Sin sprint)",$AD68),"")</f>
      </c>
      <c r="N68" s="201">
        <f>IF($C68,IF('Proyecto Datos (OKR´s)'!$E68="",9999,'Proyecto Datos (OKR´s)'!$E68),"")</f>
      </c>
      <c r="O68" s="201">
        <f>IF($C68,"T"&amp;TEXT(ROW(),"000"),"")</f>
      </c>
      <c r="R68" s="201">
        <f>IF($C68,IF(ISNUMBER('Proyecto Datos (OKR´s)'!$L68),'Proyecto Datos (OKR´s)'!$L68,$H68),"")</f>
      </c>
      <c r="S68" s="201">
        <f>IF($C68,$R68-'Proyecto Datos (OKR´s)'!$K68+1,"")</f>
      </c>
      <c r="T68" s="201">
        <f>IF($C68,MAX(0,TODAY()-'Proyecto Datos (OKR´s)'!$K68),"")</f>
      </c>
      <c r="U68" s="201">
        <f>IF($C68,MEDIAN(0,(TODAY()-'Proyecto Datos (OKR´s)'!$K68)/MAX(1,$R68-'Proyecto Datos (OKR´s)'!$K68),1),"")</f>
      </c>
      <c r="V68" s="201">
        <f>IF($C68,$I68-$U68,"")</f>
      </c>
      <c r="W68" s="201">
        <f>IF($C68,IF($J68="Completado",0,MAX(0,TODAY()-$H68)),"")</f>
      </c>
      <c r="X68" s="201">
        <f>IF($C68,IF(ISNUMBER($H68),$R68-$H68,0),"")</f>
      </c>
      <c r="Y68" s="201">
        <f>IF($C68,COUNTIFS($G$7:$G$200,$G68,$J$7:$J$200,"&lt;&gt;Completado",$J$7:$J$200,"&lt;&gt;"),"")</f>
      </c>
      <c r="Z68" s="201">
        <f>IF($C68,AND($I68=0,'Proyecto Datos (OKR´s)'!$K68&lt;=TODAY(),$J68&lt;&gt;"Completado"),"")</f>
      </c>
      <c r="AA68" s="201">
        <f>IF($C68,ROUND(100*(0.35*$AK68+0.3*$AL68+0.2*$AM68+0.15*MEDIAN(0,($Y68-4)/8,1)),0),"")</f>
      </c>
      <c r="AB68" s="202">
        <f>IF($C68,IF($J68="Completado","—",IF($AA68&gt;=70,"Crítica",IF($AA68&gt;=45,"Alta",IF($AA68&gt;=25,"Media","Baja")))),"")</f>
      </c>
      <c r="AC68" s="202">
        <f>IF($C68,IF(LEN(TRIM($AN68))=0,"—",TRIM($AN68)),"")</f>
      </c>
      <c r="AD68" s="201">
        <f>IF($C68,IF($N68=9999,9999,IF($J68="Completado",$N68,MAX($N68,'Historial de Sprints'!$C$7))),"")</f>
      </c>
      <c r="AE68" s="201">
        <f>IF($C68,IF($AD68=9999,"(Sin sprint)",$AD68),"")</f>
      </c>
      <c r="AF68" s="201">
        <f>IF($C68,AND($N68&lt;&gt;9999,$AD68&lt;&gt;$N68),FALSE)</f>
      </c>
      <c r="AG68" s="201">
        <f>IF($AF68,'Historial de Sprints'!$C$5+$N68*'Historial de Sprints'!$C$6-1,"")</f>
      </c>
      <c r="AH68" s="202">
        <f>IF($AF68,"No completada al cierre del Sprint "&amp;$N68&amp;" -&gt; reasignada al Sprint "&amp;$AD68,"")</f>
      </c>
      <c r="AI68" s="201">
        <f>IF($AF68,$N68*100000+ROW(),"")</f>
      </c>
      <c r="AJ68" s="201">
        <f>IF($C68,$AA68*1000000-MEDIAN(-9999,$K68,9999)*100+(300-ROW()),"")</f>
      </c>
      <c r="AK68" s="201">
        <f>IF($C68,IF($J68="Completado",0,IF($K68&lt;0,1,IF($K68&lt;=3,0.9,IF($K68&lt;=7,0.7,IF($K68&lt;=14,0.45,0.2))))),"")</f>
      </c>
      <c r="AL68" s="201">
        <f>IF($C68,IF($J68="Completado",0,MEDIAN(0,MAX(-$V68,$W68/30),1)),"")</f>
      </c>
      <c r="AM68" s="201">
        <f>IF($C68,IF($J68="Completado",0,IF($Z68,1,IF(AND($I68&lt;0.5,$K68&lt;=7),0.7,0.3))),"")</f>
      </c>
      <c r="AN68" s="202">
        <f>IF($C68,IF(OR($V68&lt;-0.2,$W68&gt;0),"ATRASO ","")&amp;IF($Z68,"BLOQUEO ","")&amp;IF($Y68&gt;8,"SOBRECARGA ","")&amp;IF($X68&gt;0,"DESVÍO-PLAN ",""),"")</f>
      </c>
    </row>
    <row r="69">
      <c r="A69" s="201">
        <f>ROW()</f>
      </c>
      <c r="B69" s="201">
        <f>ISTEXT('Proyecto Datos (OKR´s)'!$K69)</f>
      </c>
      <c r="C69" s="201">
        <f>AND(LEN('Proyecto Datos (OKR´s)'!$G69)&gt;0,NOT($B69),OR(ISNUMBER('Proyecto Datos (OKR´s)'!$F69),ISNUMBER('Proyecto Datos (OKR´s)'!$L69)))</f>
      </c>
      <c r="D69" s="202">
        <f>IF($C69,IFERROR(LOOKUP(2,1/((ISTEXT('Proyecto Datos (OKR´s)'!$K$7:$K69))*(LEN('Proyecto Datos (OKR´s)'!$G$7:$G69)&gt;0)),'Proyecto Datos (OKR´s)'!$G$7:$G69),""),"")</f>
      </c>
      <c r="E69" s="201">
        <f>IF($C69,'Proyecto Datos (OKR´s)'!$E69,"")</f>
      </c>
      <c r="F69" s="202">
        <f>IF($C69,'Proyecto Datos (OKR´s)'!$G69,"")</f>
      </c>
      <c r="G69" s="202">
        <f>IF($C69,IF('Proyecto Datos (OKR´s)'!$I69="","(Sin asignar)",'Proyecto Datos (OKR´s)'!$I69),"")</f>
      </c>
      <c r="H69" s="201">
        <f>IF($C69,IF(ISNUMBER('Proyecto Datos (OKR´s)'!$F69),'Proyecto Datos (OKR´s)'!$F69,'Proyecto Datos (OKR´s)'!$L69),"")</f>
      </c>
      <c r="I69" s="201">
        <f>IF($C69,'Proyecto Datos (OKR´s)'!$J69,"")</f>
      </c>
      <c r="J69" s="202">
        <f>IF($C69,IF($I69&gt;=1,"Completado",IF($H69&lt;TODAY(),"Vencido",IF(($H69-TODAY())&lt;='Entregas Próximas'!$M$3,"Próximo a vencer","En curso"))),"")</f>
      </c>
      <c r="K69" s="201">
        <f>IF($C69,$H69-TODAY(),"")</f>
      </c>
      <c r="L69" s="201">
        <f>IF($C69,$AD69*1000000+$H69+ROW()/100000,"")</f>
      </c>
      <c r="M69" s="201">
        <f>IF($C69,IF($AD69=9999,"(Sin sprint)",$AD69),"")</f>
      </c>
      <c r="N69" s="201">
        <f>IF($C69,IF('Proyecto Datos (OKR´s)'!$E69="",9999,'Proyecto Datos (OKR´s)'!$E69),"")</f>
      </c>
      <c r="O69" s="201">
        <f>IF($C69,"T"&amp;TEXT(ROW(),"000"),"")</f>
      </c>
      <c r="R69" s="201">
        <f>IF($C69,IF(ISNUMBER('Proyecto Datos (OKR´s)'!$L69),'Proyecto Datos (OKR´s)'!$L69,$H69),"")</f>
      </c>
      <c r="S69" s="201">
        <f>IF($C69,$R69-'Proyecto Datos (OKR´s)'!$K69+1,"")</f>
      </c>
      <c r="T69" s="201">
        <f>IF($C69,MAX(0,TODAY()-'Proyecto Datos (OKR´s)'!$K69),"")</f>
      </c>
      <c r="U69" s="201">
        <f>IF($C69,MEDIAN(0,(TODAY()-'Proyecto Datos (OKR´s)'!$K69)/MAX(1,$R69-'Proyecto Datos (OKR´s)'!$K69),1),"")</f>
      </c>
      <c r="V69" s="201">
        <f>IF($C69,$I69-$U69,"")</f>
      </c>
      <c r="W69" s="201">
        <f>IF($C69,IF($J69="Completado",0,MAX(0,TODAY()-$H69)),"")</f>
      </c>
      <c r="X69" s="201">
        <f>IF($C69,IF(ISNUMBER($H69),$R69-$H69,0),"")</f>
      </c>
      <c r="Y69" s="201">
        <f>IF($C69,COUNTIFS($G$7:$G$200,$G69,$J$7:$J$200,"&lt;&gt;Completado",$J$7:$J$200,"&lt;&gt;"),"")</f>
      </c>
      <c r="Z69" s="201">
        <f>IF($C69,AND($I69=0,'Proyecto Datos (OKR´s)'!$K69&lt;=TODAY(),$J69&lt;&gt;"Completado"),"")</f>
      </c>
      <c r="AA69" s="201">
        <f>IF($C69,ROUND(100*(0.35*$AK69+0.3*$AL69+0.2*$AM69+0.15*MEDIAN(0,($Y69-4)/8,1)),0),"")</f>
      </c>
      <c r="AB69" s="202">
        <f>IF($C69,IF($J69="Completado","—",IF($AA69&gt;=70,"Crítica",IF($AA69&gt;=45,"Alta",IF($AA69&gt;=25,"Media","Baja")))),"")</f>
      </c>
      <c r="AC69" s="202">
        <f>IF($C69,IF(LEN(TRIM($AN69))=0,"—",TRIM($AN69)),"")</f>
      </c>
      <c r="AD69" s="201">
        <f>IF($C69,IF($N69=9999,9999,IF($J69="Completado",$N69,MAX($N69,'Historial de Sprints'!$C$7))),"")</f>
      </c>
      <c r="AE69" s="201">
        <f>IF($C69,IF($AD69=9999,"(Sin sprint)",$AD69),"")</f>
      </c>
      <c r="AF69" s="201">
        <f>IF($C69,AND($N69&lt;&gt;9999,$AD69&lt;&gt;$N69),FALSE)</f>
      </c>
      <c r="AG69" s="201">
        <f>IF($AF69,'Historial de Sprints'!$C$5+$N69*'Historial de Sprints'!$C$6-1,"")</f>
      </c>
      <c r="AH69" s="202">
        <f>IF($AF69,"No completada al cierre del Sprint "&amp;$N69&amp;" -&gt; reasignada al Sprint "&amp;$AD69,"")</f>
      </c>
      <c r="AI69" s="201">
        <f>IF($AF69,$N69*100000+ROW(),"")</f>
      </c>
      <c r="AJ69" s="201">
        <f>IF($C69,$AA69*1000000-MEDIAN(-9999,$K69,9999)*100+(300-ROW()),"")</f>
      </c>
      <c r="AK69" s="201">
        <f>IF($C69,IF($J69="Completado",0,IF($K69&lt;0,1,IF($K69&lt;=3,0.9,IF($K69&lt;=7,0.7,IF($K69&lt;=14,0.45,0.2))))),"")</f>
      </c>
      <c r="AL69" s="201">
        <f>IF($C69,IF($J69="Completado",0,MEDIAN(0,MAX(-$V69,$W69/30),1)),"")</f>
      </c>
      <c r="AM69" s="201">
        <f>IF($C69,IF($J69="Completado",0,IF($Z69,1,IF(AND($I69&lt;0.5,$K69&lt;=7),0.7,0.3))),"")</f>
      </c>
      <c r="AN69" s="202">
        <f>IF($C69,IF(OR($V69&lt;-0.2,$W69&gt;0),"ATRASO ","")&amp;IF($Z69,"BLOQUEO ","")&amp;IF($Y69&gt;8,"SOBRECARGA ","")&amp;IF($X69&gt;0,"DESVÍO-PLAN ",""),"")</f>
      </c>
    </row>
    <row r="70">
      <c r="A70" s="201">
        <f>ROW()</f>
      </c>
      <c r="B70" s="201">
        <f>ISTEXT('Proyecto Datos (OKR´s)'!$K70)</f>
      </c>
      <c r="C70" s="201">
        <f>AND(LEN('Proyecto Datos (OKR´s)'!$G70)&gt;0,NOT($B70),OR(ISNUMBER('Proyecto Datos (OKR´s)'!$F70),ISNUMBER('Proyecto Datos (OKR´s)'!$L70)))</f>
      </c>
      <c r="D70" s="202">
        <f>IF($C70,IFERROR(LOOKUP(2,1/((ISTEXT('Proyecto Datos (OKR´s)'!$K$7:$K70))*(LEN('Proyecto Datos (OKR´s)'!$G$7:$G70)&gt;0)),'Proyecto Datos (OKR´s)'!$G$7:$G70),""),"")</f>
      </c>
      <c r="E70" s="201">
        <f>IF($C70,'Proyecto Datos (OKR´s)'!$E70,"")</f>
      </c>
      <c r="F70" s="202">
        <f>IF($C70,'Proyecto Datos (OKR´s)'!$G70,"")</f>
      </c>
      <c r="G70" s="202">
        <f>IF($C70,IF('Proyecto Datos (OKR´s)'!$I70="","(Sin asignar)",'Proyecto Datos (OKR´s)'!$I70),"")</f>
      </c>
      <c r="H70" s="201">
        <f>IF($C70,IF(ISNUMBER('Proyecto Datos (OKR´s)'!$F70),'Proyecto Datos (OKR´s)'!$F70,'Proyecto Datos (OKR´s)'!$L70),"")</f>
      </c>
      <c r="I70" s="201">
        <f>IF($C70,'Proyecto Datos (OKR´s)'!$J70,"")</f>
      </c>
      <c r="J70" s="202">
        <f>IF($C70,IF($I70&gt;=1,"Completado",IF($H70&lt;TODAY(),"Vencido",IF(($H70-TODAY())&lt;='Entregas Próximas'!$M$3,"Próximo a vencer","En curso"))),"")</f>
      </c>
      <c r="K70" s="201">
        <f>IF($C70,$H70-TODAY(),"")</f>
      </c>
      <c r="L70" s="201">
        <f>IF($C70,$AD70*1000000+$H70+ROW()/100000,"")</f>
      </c>
      <c r="M70" s="201">
        <f>IF($C70,IF($AD70=9999,"(Sin sprint)",$AD70),"")</f>
      </c>
      <c r="N70" s="201">
        <f>IF($C70,IF('Proyecto Datos (OKR´s)'!$E70="",9999,'Proyecto Datos (OKR´s)'!$E70),"")</f>
      </c>
      <c r="O70" s="201">
        <f>IF($C70,"T"&amp;TEXT(ROW(),"000"),"")</f>
      </c>
      <c r="R70" s="201">
        <f>IF($C70,IF(ISNUMBER('Proyecto Datos (OKR´s)'!$L70),'Proyecto Datos (OKR´s)'!$L70,$H70),"")</f>
      </c>
      <c r="S70" s="201">
        <f>IF($C70,$R70-'Proyecto Datos (OKR´s)'!$K70+1,"")</f>
      </c>
      <c r="T70" s="201">
        <f>IF($C70,MAX(0,TODAY()-'Proyecto Datos (OKR´s)'!$K70),"")</f>
      </c>
      <c r="U70" s="201">
        <f>IF($C70,MEDIAN(0,(TODAY()-'Proyecto Datos (OKR´s)'!$K70)/MAX(1,$R70-'Proyecto Datos (OKR´s)'!$K70),1),"")</f>
      </c>
      <c r="V70" s="201">
        <f>IF($C70,$I70-$U70,"")</f>
      </c>
      <c r="W70" s="201">
        <f>IF($C70,IF($J70="Completado",0,MAX(0,TODAY()-$H70)),"")</f>
      </c>
      <c r="X70" s="201">
        <f>IF($C70,IF(ISNUMBER($H70),$R70-$H70,0),"")</f>
      </c>
      <c r="Y70" s="201">
        <f>IF($C70,COUNTIFS($G$7:$G$200,$G70,$J$7:$J$200,"&lt;&gt;Completado",$J$7:$J$200,"&lt;&gt;"),"")</f>
      </c>
      <c r="Z70" s="201">
        <f>IF($C70,AND($I70=0,'Proyecto Datos (OKR´s)'!$K70&lt;=TODAY(),$J70&lt;&gt;"Completado"),"")</f>
      </c>
      <c r="AA70" s="201">
        <f>IF($C70,ROUND(100*(0.35*$AK70+0.3*$AL70+0.2*$AM70+0.15*MEDIAN(0,($Y70-4)/8,1)),0),"")</f>
      </c>
      <c r="AB70" s="202">
        <f>IF($C70,IF($J70="Completado","—",IF($AA70&gt;=70,"Crítica",IF($AA70&gt;=45,"Alta",IF($AA70&gt;=25,"Media","Baja")))),"")</f>
      </c>
      <c r="AC70" s="202">
        <f>IF($C70,IF(LEN(TRIM($AN70))=0,"—",TRIM($AN70)),"")</f>
      </c>
      <c r="AD70" s="201">
        <f>IF($C70,IF($N70=9999,9999,IF($J70="Completado",$N70,MAX($N70,'Historial de Sprints'!$C$7))),"")</f>
      </c>
      <c r="AE70" s="201">
        <f>IF($C70,IF($AD70=9999,"(Sin sprint)",$AD70),"")</f>
      </c>
      <c r="AF70" s="201">
        <f>IF($C70,AND($N70&lt;&gt;9999,$AD70&lt;&gt;$N70),FALSE)</f>
      </c>
      <c r="AG70" s="201">
        <f>IF($AF70,'Historial de Sprints'!$C$5+$N70*'Historial de Sprints'!$C$6-1,"")</f>
      </c>
      <c r="AH70" s="202">
        <f>IF($AF70,"No completada al cierre del Sprint "&amp;$N70&amp;" -&gt; reasignada al Sprint "&amp;$AD70,"")</f>
      </c>
      <c r="AI70" s="201">
        <f>IF($AF70,$N70*100000+ROW(),"")</f>
      </c>
      <c r="AJ70" s="201">
        <f>IF($C70,$AA70*1000000-MEDIAN(-9999,$K70,9999)*100+(300-ROW()),"")</f>
      </c>
      <c r="AK70" s="201">
        <f>IF($C70,IF($J70="Completado",0,IF($K70&lt;0,1,IF($K70&lt;=3,0.9,IF($K70&lt;=7,0.7,IF($K70&lt;=14,0.45,0.2))))),"")</f>
      </c>
      <c r="AL70" s="201">
        <f>IF($C70,IF($J70="Completado",0,MEDIAN(0,MAX(-$V70,$W70/30),1)),"")</f>
      </c>
      <c r="AM70" s="201">
        <f>IF($C70,IF($J70="Completado",0,IF($Z70,1,IF(AND($I70&lt;0.5,$K70&lt;=7),0.7,0.3))),"")</f>
      </c>
      <c r="AN70" s="202">
        <f>IF($C70,IF(OR($V70&lt;-0.2,$W70&gt;0),"ATRASO ","")&amp;IF($Z70,"BLOQUEO ","")&amp;IF($Y70&gt;8,"SOBRECARGA ","")&amp;IF($X70&gt;0,"DESVÍO-PLAN ",""),"")</f>
      </c>
    </row>
    <row r="71">
      <c r="A71" s="201">
        <f>ROW()</f>
      </c>
      <c r="B71" s="201">
        <f>ISTEXT('Proyecto Datos (OKR´s)'!$K71)</f>
      </c>
      <c r="C71" s="201">
        <f>AND(LEN('Proyecto Datos (OKR´s)'!$G71)&gt;0,NOT($B71),OR(ISNUMBER('Proyecto Datos (OKR´s)'!$F71),ISNUMBER('Proyecto Datos (OKR´s)'!$L71)))</f>
      </c>
      <c r="D71" s="202">
        <f>IF($C71,IFERROR(LOOKUP(2,1/((ISTEXT('Proyecto Datos (OKR´s)'!$K$7:$K71))*(LEN('Proyecto Datos (OKR´s)'!$G$7:$G71)&gt;0)),'Proyecto Datos (OKR´s)'!$G$7:$G71),""),"")</f>
      </c>
      <c r="E71" s="201">
        <f>IF($C71,'Proyecto Datos (OKR´s)'!$E71,"")</f>
      </c>
      <c r="F71" s="202">
        <f>IF($C71,'Proyecto Datos (OKR´s)'!$G71,"")</f>
      </c>
      <c r="G71" s="202">
        <f>IF($C71,IF('Proyecto Datos (OKR´s)'!$I71="","(Sin asignar)",'Proyecto Datos (OKR´s)'!$I71),"")</f>
      </c>
      <c r="H71" s="201">
        <f>IF($C71,IF(ISNUMBER('Proyecto Datos (OKR´s)'!$F71),'Proyecto Datos (OKR´s)'!$F71,'Proyecto Datos (OKR´s)'!$L71),"")</f>
      </c>
      <c r="I71" s="201">
        <f>IF($C71,'Proyecto Datos (OKR´s)'!$J71,"")</f>
      </c>
      <c r="J71" s="202">
        <f>IF($C71,IF($I71&gt;=1,"Completado",IF($H71&lt;TODAY(),"Vencido",IF(($H71-TODAY())&lt;='Entregas Próximas'!$M$3,"Próximo a vencer","En curso"))),"")</f>
      </c>
      <c r="K71" s="201">
        <f>IF($C71,$H71-TODAY(),"")</f>
      </c>
      <c r="L71" s="201">
        <f>IF($C71,$AD71*1000000+$H71+ROW()/100000,"")</f>
      </c>
      <c r="M71" s="201">
        <f>IF($C71,IF($AD71=9999,"(Sin sprint)",$AD71),"")</f>
      </c>
      <c r="N71" s="201">
        <f>IF($C71,IF('Proyecto Datos (OKR´s)'!$E71="",9999,'Proyecto Datos (OKR´s)'!$E71),"")</f>
      </c>
      <c r="O71" s="201">
        <f>IF($C71,"T"&amp;TEXT(ROW(),"000"),"")</f>
      </c>
      <c r="R71" s="201">
        <f>IF($C71,IF(ISNUMBER('Proyecto Datos (OKR´s)'!$L71),'Proyecto Datos (OKR´s)'!$L71,$H71),"")</f>
      </c>
      <c r="S71" s="201">
        <f>IF($C71,$R71-'Proyecto Datos (OKR´s)'!$K71+1,"")</f>
      </c>
      <c r="T71" s="201">
        <f>IF($C71,MAX(0,TODAY()-'Proyecto Datos (OKR´s)'!$K71),"")</f>
      </c>
      <c r="U71" s="201">
        <f>IF($C71,MEDIAN(0,(TODAY()-'Proyecto Datos (OKR´s)'!$K71)/MAX(1,$R71-'Proyecto Datos (OKR´s)'!$K71),1),"")</f>
      </c>
      <c r="V71" s="201">
        <f>IF($C71,$I71-$U71,"")</f>
      </c>
      <c r="W71" s="201">
        <f>IF($C71,IF($J71="Completado",0,MAX(0,TODAY()-$H71)),"")</f>
      </c>
      <c r="X71" s="201">
        <f>IF($C71,IF(ISNUMBER($H71),$R71-$H71,0),"")</f>
      </c>
      <c r="Y71" s="201">
        <f>IF($C71,COUNTIFS($G$7:$G$200,$G71,$J$7:$J$200,"&lt;&gt;Completado",$J$7:$J$200,"&lt;&gt;"),"")</f>
      </c>
      <c r="Z71" s="201">
        <f>IF($C71,AND($I71=0,'Proyecto Datos (OKR´s)'!$K71&lt;=TODAY(),$J71&lt;&gt;"Completado"),"")</f>
      </c>
      <c r="AA71" s="201">
        <f>IF($C71,ROUND(100*(0.35*$AK71+0.3*$AL71+0.2*$AM71+0.15*MEDIAN(0,($Y71-4)/8,1)),0),"")</f>
      </c>
      <c r="AB71" s="202">
        <f>IF($C71,IF($J71="Completado","—",IF($AA71&gt;=70,"Crítica",IF($AA71&gt;=45,"Alta",IF($AA71&gt;=25,"Media","Baja")))),"")</f>
      </c>
      <c r="AC71" s="202">
        <f>IF($C71,IF(LEN(TRIM($AN71))=0,"—",TRIM($AN71)),"")</f>
      </c>
      <c r="AD71" s="201">
        <f>IF($C71,IF($N71=9999,9999,IF($J71="Completado",$N71,MAX($N71,'Historial de Sprints'!$C$7))),"")</f>
      </c>
      <c r="AE71" s="201">
        <f>IF($C71,IF($AD71=9999,"(Sin sprint)",$AD71),"")</f>
      </c>
      <c r="AF71" s="201">
        <f>IF($C71,AND($N71&lt;&gt;9999,$AD71&lt;&gt;$N71),FALSE)</f>
      </c>
      <c r="AG71" s="201">
        <f>IF($AF71,'Historial de Sprints'!$C$5+$N71*'Historial de Sprints'!$C$6-1,"")</f>
      </c>
      <c r="AH71" s="202">
        <f>IF($AF71,"No completada al cierre del Sprint "&amp;$N71&amp;" -&gt; reasignada al Sprint "&amp;$AD71,"")</f>
      </c>
      <c r="AI71" s="201">
        <f>IF($AF71,$N71*100000+ROW(),"")</f>
      </c>
      <c r="AJ71" s="201">
        <f>IF($C71,$AA71*1000000-MEDIAN(-9999,$K71,9999)*100+(300-ROW()),"")</f>
      </c>
      <c r="AK71" s="201">
        <f>IF($C71,IF($J71="Completado",0,IF($K71&lt;0,1,IF($K71&lt;=3,0.9,IF($K71&lt;=7,0.7,IF($K71&lt;=14,0.45,0.2))))),"")</f>
      </c>
      <c r="AL71" s="201">
        <f>IF($C71,IF($J71="Completado",0,MEDIAN(0,MAX(-$V71,$W71/30),1)),"")</f>
      </c>
      <c r="AM71" s="201">
        <f>IF($C71,IF($J71="Completado",0,IF($Z71,1,IF(AND($I71&lt;0.5,$K71&lt;=7),0.7,0.3))),"")</f>
      </c>
      <c r="AN71" s="202">
        <f>IF($C71,IF(OR($V71&lt;-0.2,$W71&gt;0),"ATRASO ","")&amp;IF($Z71,"BLOQUEO ","")&amp;IF($Y71&gt;8,"SOBRECARGA ","")&amp;IF($X71&gt;0,"DESVÍO-PLAN ",""),"")</f>
      </c>
    </row>
    <row r="72">
      <c r="A72" s="201">
        <f>ROW()</f>
      </c>
      <c r="B72" s="201">
        <f>ISTEXT('Proyecto Datos (OKR´s)'!$K72)</f>
      </c>
      <c r="C72" s="201">
        <f>AND(LEN('Proyecto Datos (OKR´s)'!$G72)&gt;0,NOT($B72),OR(ISNUMBER('Proyecto Datos (OKR´s)'!$F72),ISNUMBER('Proyecto Datos (OKR´s)'!$L72)))</f>
      </c>
      <c r="D72" s="202">
        <f>IF($C72,IFERROR(LOOKUP(2,1/((ISTEXT('Proyecto Datos (OKR´s)'!$K$7:$K72))*(LEN('Proyecto Datos (OKR´s)'!$G$7:$G72)&gt;0)),'Proyecto Datos (OKR´s)'!$G$7:$G72),""),"")</f>
      </c>
      <c r="E72" s="201">
        <f>IF($C72,'Proyecto Datos (OKR´s)'!$E72,"")</f>
      </c>
      <c r="F72" s="202">
        <f>IF($C72,'Proyecto Datos (OKR´s)'!$G72,"")</f>
      </c>
      <c r="G72" s="202">
        <f>IF($C72,IF('Proyecto Datos (OKR´s)'!$I72="","(Sin asignar)",'Proyecto Datos (OKR´s)'!$I72),"")</f>
      </c>
      <c r="H72" s="201">
        <f>IF($C72,IF(ISNUMBER('Proyecto Datos (OKR´s)'!$F72),'Proyecto Datos (OKR´s)'!$F72,'Proyecto Datos (OKR´s)'!$L72),"")</f>
      </c>
      <c r="I72" s="201">
        <f>IF($C72,'Proyecto Datos (OKR´s)'!$J72,"")</f>
      </c>
      <c r="J72" s="202">
        <f>IF($C72,IF($I72&gt;=1,"Completado",IF($H72&lt;TODAY(),"Vencido",IF(($H72-TODAY())&lt;='Entregas Próximas'!$M$3,"Próximo a vencer","En curso"))),"")</f>
      </c>
      <c r="K72" s="201">
        <f>IF($C72,$H72-TODAY(),"")</f>
      </c>
      <c r="L72" s="201">
        <f>IF($C72,$AD72*1000000+$H72+ROW()/100000,"")</f>
      </c>
      <c r="M72" s="201">
        <f>IF($C72,IF($AD72=9999,"(Sin sprint)",$AD72),"")</f>
      </c>
      <c r="N72" s="201">
        <f>IF($C72,IF('Proyecto Datos (OKR´s)'!$E72="",9999,'Proyecto Datos (OKR´s)'!$E72),"")</f>
      </c>
      <c r="O72" s="201">
        <f>IF($C72,"T"&amp;TEXT(ROW(),"000"),"")</f>
      </c>
      <c r="R72" s="201">
        <f>IF($C72,IF(ISNUMBER('Proyecto Datos (OKR´s)'!$L72),'Proyecto Datos (OKR´s)'!$L72,$H72),"")</f>
      </c>
      <c r="S72" s="201">
        <f>IF($C72,$R72-'Proyecto Datos (OKR´s)'!$K72+1,"")</f>
      </c>
      <c r="T72" s="201">
        <f>IF($C72,MAX(0,TODAY()-'Proyecto Datos (OKR´s)'!$K72),"")</f>
      </c>
      <c r="U72" s="201">
        <f>IF($C72,MEDIAN(0,(TODAY()-'Proyecto Datos (OKR´s)'!$K72)/MAX(1,$R72-'Proyecto Datos (OKR´s)'!$K72),1),"")</f>
      </c>
      <c r="V72" s="201">
        <f>IF($C72,$I72-$U72,"")</f>
      </c>
      <c r="W72" s="201">
        <f>IF($C72,IF($J72="Completado",0,MAX(0,TODAY()-$H72)),"")</f>
      </c>
      <c r="X72" s="201">
        <f>IF($C72,IF(ISNUMBER($H72),$R72-$H72,0),"")</f>
      </c>
      <c r="Y72" s="201">
        <f>IF($C72,COUNTIFS($G$7:$G$200,$G72,$J$7:$J$200,"&lt;&gt;Completado",$J$7:$J$200,"&lt;&gt;"),"")</f>
      </c>
      <c r="Z72" s="201">
        <f>IF($C72,AND($I72=0,'Proyecto Datos (OKR´s)'!$K72&lt;=TODAY(),$J72&lt;&gt;"Completado"),"")</f>
      </c>
      <c r="AA72" s="201">
        <f>IF($C72,ROUND(100*(0.35*$AK72+0.3*$AL72+0.2*$AM72+0.15*MEDIAN(0,($Y72-4)/8,1)),0),"")</f>
      </c>
      <c r="AB72" s="202">
        <f>IF($C72,IF($J72="Completado","—",IF($AA72&gt;=70,"Crítica",IF($AA72&gt;=45,"Alta",IF($AA72&gt;=25,"Media","Baja")))),"")</f>
      </c>
      <c r="AC72" s="202">
        <f>IF($C72,IF(LEN(TRIM($AN72))=0,"—",TRIM($AN72)),"")</f>
      </c>
      <c r="AD72" s="201">
        <f>IF($C72,IF($N72=9999,9999,IF($J72="Completado",$N72,MAX($N72,'Historial de Sprints'!$C$7))),"")</f>
      </c>
      <c r="AE72" s="201">
        <f>IF($C72,IF($AD72=9999,"(Sin sprint)",$AD72),"")</f>
      </c>
      <c r="AF72" s="201">
        <f>IF($C72,AND($N72&lt;&gt;9999,$AD72&lt;&gt;$N72),FALSE)</f>
      </c>
      <c r="AG72" s="201">
        <f>IF($AF72,'Historial de Sprints'!$C$5+$N72*'Historial de Sprints'!$C$6-1,"")</f>
      </c>
      <c r="AH72" s="202">
        <f>IF($AF72,"No completada al cierre del Sprint "&amp;$N72&amp;" -&gt; reasignada al Sprint "&amp;$AD72,"")</f>
      </c>
      <c r="AI72" s="201">
        <f>IF($AF72,$N72*100000+ROW(),"")</f>
      </c>
      <c r="AJ72" s="201">
        <f>IF($C72,$AA72*1000000-MEDIAN(-9999,$K72,9999)*100+(300-ROW()),"")</f>
      </c>
      <c r="AK72" s="201">
        <f>IF($C72,IF($J72="Completado",0,IF($K72&lt;0,1,IF($K72&lt;=3,0.9,IF($K72&lt;=7,0.7,IF($K72&lt;=14,0.45,0.2))))),"")</f>
      </c>
      <c r="AL72" s="201">
        <f>IF($C72,IF($J72="Completado",0,MEDIAN(0,MAX(-$V72,$W72/30),1)),"")</f>
      </c>
      <c r="AM72" s="201">
        <f>IF($C72,IF($J72="Completado",0,IF($Z72,1,IF(AND($I72&lt;0.5,$K72&lt;=7),0.7,0.3))),"")</f>
      </c>
      <c r="AN72" s="202">
        <f>IF($C72,IF(OR($V72&lt;-0.2,$W72&gt;0),"ATRASO ","")&amp;IF($Z72,"BLOQUEO ","")&amp;IF($Y72&gt;8,"SOBRECARGA ","")&amp;IF($X72&gt;0,"DESVÍO-PLAN ",""),"")</f>
      </c>
    </row>
    <row r="73">
      <c r="A73" s="201">
        <f>ROW()</f>
      </c>
      <c r="B73" s="201">
        <f>ISTEXT('Proyecto Datos (OKR´s)'!$K73)</f>
      </c>
      <c r="C73" s="201">
        <f>AND(LEN('Proyecto Datos (OKR´s)'!$G73)&gt;0,NOT($B73),OR(ISNUMBER('Proyecto Datos (OKR´s)'!$F73),ISNUMBER('Proyecto Datos (OKR´s)'!$L73)))</f>
      </c>
      <c r="D73" s="202">
        <f>IF($C73,IFERROR(LOOKUP(2,1/((ISTEXT('Proyecto Datos (OKR´s)'!$K$7:$K73))*(LEN('Proyecto Datos (OKR´s)'!$G$7:$G73)&gt;0)),'Proyecto Datos (OKR´s)'!$G$7:$G73),""),"")</f>
      </c>
      <c r="E73" s="201">
        <f>IF($C73,'Proyecto Datos (OKR´s)'!$E73,"")</f>
      </c>
      <c r="F73" s="202">
        <f>IF($C73,'Proyecto Datos (OKR´s)'!$G73,"")</f>
      </c>
      <c r="G73" s="202">
        <f>IF($C73,IF('Proyecto Datos (OKR´s)'!$I73="","(Sin asignar)",'Proyecto Datos (OKR´s)'!$I73),"")</f>
      </c>
      <c r="H73" s="201">
        <f>IF($C73,IF(ISNUMBER('Proyecto Datos (OKR´s)'!$F73),'Proyecto Datos (OKR´s)'!$F73,'Proyecto Datos (OKR´s)'!$L73),"")</f>
      </c>
      <c r="I73" s="201">
        <f>IF($C73,'Proyecto Datos (OKR´s)'!$J73,"")</f>
      </c>
      <c r="J73" s="202">
        <f>IF($C73,IF($I73&gt;=1,"Completado",IF($H73&lt;TODAY(),"Vencido",IF(($H73-TODAY())&lt;='Entregas Próximas'!$M$3,"Próximo a vencer","En curso"))),"")</f>
      </c>
      <c r="K73" s="201">
        <f>IF($C73,$H73-TODAY(),"")</f>
      </c>
      <c r="L73" s="201">
        <f>IF($C73,$AD73*1000000+$H73+ROW()/100000,"")</f>
      </c>
      <c r="M73" s="201">
        <f>IF($C73,IF($AD73=9999,"(Sin sprint)",$AD73),"")</f>
      </c>
      <c r="N73" s="201">
        <f>IF($C73,IF('Proyecto Datos (OKR´s)'!$E73="",9999,'Proyecto Datos (OKR´s)'!$E73),"")</f>
      </c>
      <c r="O73" s="201">
        <f>IF($C73,"T"&amp;TEXT(ROW(),"000"),"")</f>
      </c>
      <c r="R73" s="201">
        <f>IF($C73,IF(ISNUMBER('Proyecto Datos (OKR´s)'!$L73),'Proyecto Datos (OKR´s)'!$L73,$H73),"")</f>
      </c>
      <c r="S73" s="201">
        <f>IF($C73,$R73-'Proyecto Datos (OKR´s)'!$K73+1,"")</f>
      </c>
      <c r="T73" s="201">
        <f>IF($C73,MAX(0,TODAY()-'Proyecto Datos (OKR´s)'!$K73),"")</f>
      </c>
      <c r="U73" s="201">
        <f>IF($C73,MEDIAN(0,(TODAY()-'Proyecto Datos (OKR´s)'!$K73)/MAX(1,$R73-'Proyecto Datos (OKR´s)'!$K73),1),"")</f>
      </c>
      <c r="V73" s="201">
        <f>IF($C73,$I73-$U73,"")</f>
      </c>
      <c r="W73" s="201">
        <f>IF($C73,IF($J73="Completado",0,MAX(0,TODAY()-$H73)),"")</f>
      </c>
      <c r="X73" s="201">
        <f>IF($C73,IF(ISNUMBER($H73),$R73-$H73,0),"")</f>
      </c>
      <c r="Y73" s="201">
        <f>IF($C73,COUNTIFS($G$7:$G$200,$G73,$J$7:$J$200,"&lt;&gt;Completado",$J$7:$J$200,"&lt;&gt;"),"")</f>
      </c>
      <c r="Z73" s="201">
        <f>IF($C73,AND($I73=0,'Proyecto Datos (OKR´s)'!$K73&lt;=TODAY(),$J73&lt;&gt;"Completado"),"")</f>
      </c>
      <c r="AA73" s="201">
        <f>IF($C73,ROUND(100*(0.35*$AK73+0.3*$AL73+0.2*$AM73+0.15*MEDIAN(0,($Y73-4)/8,1)),0),"")</f>
      </c>
      <c r="AB73" s="202">
        <f>IF($C73,IF($J73="Completado","—",IF($AA73&gt;=70,"Crítica",IF($AA73&gt;=45,"Alta",IF($AA73&gt;=25,"Media","Baja")))),"")</f>
      </c>
      <c r="AC73" s="202">
        <f>IF($C73,IF(LEN(TRIM($AN73))=0,"—",TRIM($AN73)),"")</f>
      </c>
      <c r="AD73" s="201">
        <f>IF($C73,IF($N73=9999,9999,IF($J73="Completado",$N73,MAX($N73,'Historial de Sprints'!$C$7))),"")</f>
      </c>
      <c r="AE73" s="201">
        <f>IF($C73,IF($AD73=9999,"(Sin sprint)",$AD73),"")</f>
      </c>
      <c r="AF73" s="201">
        <f>IF($C73,AND($N73&lt;&gt;9999,$AD73&lt;&gt;$N73),FALSE)</f>
      </c>
      <c r="AG73" s="201">
        <f>IF($AF73,'Historial de Sprints'!$C$5+$N73*'Historial de Sprints'!$C$6-1,"")</f>
      </c>
      <c r="AH73" s="202">
        <f>IF($AF73,"No completada al cierre del Sprint "&amp;$N73&amp;" -&gt; reasignada al Sprint "&amp;$AD73,"")</f>
      </c>
      <c r="AI73" s="201">
        <f>IF($AF73,$N73*100000+ROW(),"")</f>
      </c>
      <c r="AJ73" s="201">
        <f>IF($C73,$AA73*1000000-MEDIAN(-9999,$K73,9999)*100+(300-ROW()),"")</f>
      </c>
      <c r="AK73" s="201">
        <f>IF($C73,IF($J73="Completado",0,IF($K73&lt;0,1,IF($K73&lt;=3,0.9,IF($K73&lt;=7,0.7,IF($K73&lt;=14,0.45,0.2))))),"")</f>
      </c>
      <c r="AL73" s="201">
        <f>IF($C73,IF($J73="Completado",0,MEDIAN(0,MAX(-$V73,$W73/30),1)),"")</f>
      </c>
      <c r="AM73" s="201">
        <f>IF($C73,IF($J73="Completado",0,IF($Z73,1,IF(AND($I73&lt;0.5,$K73&lt;=7),0.7,0.3))),"")</f>
      </c>
      <c r="AN73" s="202">
        <f>IF($C73,IF(OR($V73&lt;-0.2,$W73&gt;0),"ATRASO ","")&amp;IF($Z73,"BLOQUEO ","")&amp;IF($Y73&gt;8,"SOBRECARGA ","")&amp;IF($X73&gt;0,"DESVÍO-PLAN ",""),"")</f>
      </c>
    </row>
    <row r="74">
      <c r="A74" s="201">
        <f>ROW()</f>
      </c>
      <c r="B74" s="201">
        <f>ISTEXT('Proyecto Datos (OKR´s)'!$K74)</f>
      </c>
      <c r="C74" s="201">
        <f>AND(LEN('Proyecto Datos (OKR´s)'!$G74)&gt;0,NOT($B74),OR(ISNUMBER('Proyecto Datos (OKR´s)'!$F74),ISNUMBER('Proyecto Datos (OKR´s)'!$L74)))</f>
      </c>
      <c r="D74" s="202">
        <f>IF($C74,IFERROR(LOOKUP(2,1/((ISTEXT('Proyecto Datos (OKR´s)'!$K$7:$K74))*(LEN('Proyecto Datos (OKR´s)'!$G$7:$G74)&gt;0)),'Proyecto Datos (OKR´s)'!$G$7:$G74),""),"")</f>
      </c>
      <c r="E74" s="201">
        <f>IF($C74,'Proyecto Datos (OKR´s)'!$E74,"")</f>
      </c>
      <c r="F74" s="202">
        <f>IF($C74,'Proyecto Datos (OKR´s)'!$G74,"")</f>
      </c>
      <c r="G74" s="202">
        <f>IF($C74,IF('Proyecto Datos (OKR´s)'!$I74="","(Sin asignar)",'Proyecto Datos (OKR´s)'!$I74),"")</f>
      </c>
      <c r="H74" s="201">
        <f>IF($C74,IF(ISNUMBER('Proyecto Datos (OKR´s)'!$F74),'Proyecto Datos (OKR´s)'!$F74,'Proyecto Datos (OKR´s)'!$L74),"")</f>
      </c>
      <c r="I74" s="201">
        <f>IF($C74,'Proyecto Datos (OKR´s)'!$J74,"")</f>
      </c>
      <c r="J74" s="202">
        <f>IF($C74,IF($I74&gt;=1,"Completado",IF($H74&lt;TODAY(),"Vencido",IF(($H74-TODAY())&lt;='Entregas Próximas'!$M$3,"Próximo a vencer","En curso"))),"")</f>
      </c>
      <c r="K74" s="201">
        <f>IF($C74,$H74-TODAY(),"")</f>
      </c>
      <c r="L74" s="201">
        <f>IF($C74,$AD74*1000000+$H74+ROW()/100000,"")</f>
      </c>
      <c r="M74" s="201">
        <f>IF($C74,IF($AD74=9999,"(Sin sprint)",$AD74),"")</f>
      </c>
      <c r="N74" s="201">
        <f>IF($C74,IF('Proyecto Datos (OKR´s)'!$E74="",9999,'Proyecto Datos (OKR´s)'!$E74),"")</f>
      </c>
      <c r="O74" s="201">
        <f>IF($C74,"T"&amp;TEXT(ROW(),"000"),"")</f>
      </c>
      <c r="R74" s="201">
        <f>IF($C74,IF(ISNUMBER('Proyecto Datos (OKR´s)'!$L74),'Proyecto Datos (OKR´s)'!$L74,$H74),"")</f>
      </c>
      <c r="S74" s="201">
        <f>IF($C74,$R74-'Proyecto Datos (OKR´s)'!$K74+1,"")</f>
      </c>
      <c r="T74" s="201">
        <f>IF($C74,MAX(0,TODAY()-'Proyecto Datos (OKR´s)'!$K74),"")</f>
      </c>
      <c r="U74" s="201">
        <f>IF($C74,MEDIAN(0,(TODAY()-'Proyecto Datos (OKR´s)'!$K74)/MAX(1,$R74-'Proyecto Datos (OKR´s)'!$K74),1),"")</f>
      </c>
      <c r="V74" s="201">
        <f>IF($C74,$I74-$U74,"")</f>
      </c>
      <c r="W74" s="201">
        <f>IF($C74,IF($J74="Completado",0,MAX(0,TODAY()-$H74)),"")</f>
      </c>
      <c r="X74" s="201">
        <f>IF($C74,IF(ISNUMBER($H74),$R74-$H74,0),"")</f>
      </c>
      <c r="Y74" s="201">
        <f>IF($C74,COUNTIFS($G$7:$G$200,$G74,$J$7:$J$200,"&lt;&gt;Completado",$J$7:$J$200,"&lt;&gt;"),"")</f>
      </c>
      <c r="Z74" s="201">
        <f>IF($C74,AND($I74=0,'Proyecto Datos (OKR´s)'!$K74&lt;=TODAY(),$J74&lt;&gt;"Completado"),"")</f>
      </c>
      <c r="AA74" s="201">
        <f>IF($C74,ROUND(100*(0.35*$AK74+0.3*$AL74+0.2*$AM74+0.15*MEDIAN(0,($Y74-4)/8,1)),0),"")</f>
      </c>
      <c r="AB74" s="202">
        <f>IF($C74,IF($J74="Completado","—",IF($AA74&gt;=70,"Crítica",IF($AA74&gt;=45,"Alta",IF($AA74&gt;=25,"Media","Baja")))),"")</f>
      </c>
      <c r="AC74" s="202">
        <f>IF($C74,IF(LEN(TRIM($AN74))=0,"—",TRIM($AN74)),"")</f>
      </c>
      <c r="AD74" s="201">
        <f>IF($C74,IF($N74=9999,9999,IF($J74="Completado",$N74,MAX($N74,'Historial de Sprints'!$C$7))),"")</f>
      </c>
      <c r="AE74" s="201">
        <f>IF($C74,IF($AD74=9999,"(Sin sprint)",$AD74),"")</f>
      </c>
      <c r="AF74" s="201">
        <f>IF($C74,AND($N74&lt;&gt;9999,$AD74&lt;&gt;$N74),FALSE)</f>
      </c>
      <c r="AG74" s="201">
        <f>IF($AF74,'Historial de Sprints'!$C$5+$N74*'Historial de Sprints'!$C$6-1,"")</f>
      </c>
      <c r="AH74" s="202">
        <f>IF($AF74,"No completada al cierre del Sprint "&amp;$N74&amp;" -&gt; reasignada al Sprint "&amp;$AD74,"")</f>
      </c>
      <c r="AI74" s="201">
        <f>IF($AF74,$N74*100000+ROW(),"")</f>
      </c>
      <c r="AJ74" s="201">
        <f>IF($C74,$AA74*1000000-MEDIAN(-9999,$K74,9999)*100+(300-ROW()),"")</f>
      </c>
      <c r="AK74" s="201">
        <f>IF($C74,IF($J74="Completado",0,IF($K74&lt;0,1,IF($K74&lt;=3,0.9,IF($K74&lt;=7,0.7,IF($K74&lt;=14,0.45,0.2))))),"")</f>
      </c>
      <c r="AL74" s="201">
        <f>IF($C74,IF($J74="Completado",0,MEDIAN(0,MAX(-$V74,$W74/30),1)),"")</f>
      </c>
      <c r="AM74" s="201">
        <f>IF($C74,IF($J74="Completado",0,IF($Z74,1,IF(AND($I74&lt;0.5,$K74&lt;=7),0.7,0.3))),"")</f>
      </c>
      <c r="AN74" s="202">
        <f>IF($C74,IF(OR($V74&lt;-0.2,$W74&gt;0),"ATRASO ","")&amp;IF($Z74,"BLOQUEO ","")&amp;IF($Y74&gt;8,"SOBRECARGA ","")&amp;IF($X74&gt;0,"DESVÍO-PLAN ",""),"")</f>
      </c>
    </row>
    <row r="75">
      <c r="A75" s="201">
        <f>ROW()</f>
      </c>
      <c r="B75" s="201">
        <f>ISTEXT('Proyecto Datos (OKR´s)'!$K75)</f>
      </c>
      <c r="C75" s="201">
        <f>AND(LEN('Proyecto Datos (OKR´s)'!$G75)&gt;0,NOT($B75),OR(ISNUMBER('Proyecto Datos (OKR´s)'!$F75),ISNUMBER('Proyecto Datos (OKR´s)'!$L75)))</f>
      </c>
      <c r="D75" s="202">
        <f>IF($C75,IFERROR(LOOKUP(2,1/((ISTEXT('Proyecto Datos (OKR´s)'!$K$7:$K75))*(LEN('Proyecto Datos (OKR´s)'!$G$7:$G75)&gt;0)),'Proyecto Datos (OKR´s)'!$G$7:$G75),""),"")</f>
      </c>
      <c r="E75" s="201">
        <f>IF($C75,'Proyecto Datos (OKR´s)'!$E75,"")</f>
      </c>
      <c r="F75" s="202">
        <f>IF($C75,'Proyecto Datos (OKR´s)'!$G75,"")</f>
      </c>
      <c r="G75" s="202">
        <f>IF($C75,IF('Proyecto Datos (OKR´s)'!$I75="","(Sin asignar)",'Proyecto Datos (OKR´s)'!$I75),"")</f>
      </c>
      <c r="H75" s="201">
        <f>IF($C75,IF(ISNUMBER('Proyecto Datos (OKR´s)'!$F75),'Proyecto Datos (OKR´s)'!$F75,'Proyecto Datos (OKR´s)'!$L75),"")</f>
      </c>
      <c r="I75" s="201">
        <f>IF($C75,'Proyecto Datos (OKR´s)'!$J75,"")</f>
      </c>
      <c r="J75" s="202">
        <f>IF($C75,IF($I75&gt;=1,"Completado",IF($H75&lt;TODAY(),"Vencido",IF(($H75-TODAY())&lt;='Entregas Próximas'!$M$3,"Próximo a vencer","En curso"))),"")</f>
      </c>
      <c r="K75" s="201">
        <f>IF($C75,$H75-TODAY(),"")</f>
      </c>
      <c r="L75" s="201">
        <f>IF($C75,$AD75*1000000+$H75+ROW()/100000,"")</f>
      </c>
      <c r="M75" s="201">
        <f>IF($C75,IF($AD75=9999,"(Sin sprint)",$AD75),"")</f>
      </c>
      <c r="N75" s="201">
        <f>IF($C75,IF('Proyecto Datos (OKR´s)'!$E75="",9999,'Proyecto Datos (OKR´s)'!$E75),"")</f>
      </c>
      <c r="O75" s="201">
        <f>IF($C75,"T"&amp;TEXT(ROW(),"000"),"")</f>
      </c>
      <c r="R75" s="201">
        <f>IF($C75,IF(ISNUMBER('Proyecto Datos (OKR´s)'!$L75),'Proyecto Datos (OKR´s)'!$L75,$H75),"")</f>
      </c>
      <c r="S75" s="201">
        <f>IF($C75,$R75-'Proyecto Datos (OKR´s)'!$K75+1,"")</f>
      </c>
      <c r="T75" s="201">
        <f>IF($C75,MAX(0,TODAY()-'Proyecto Datos (OKR´s)'!$K75),"")</f>
      </c>
      <c r="U75" s="201">
        <f>IF($C75,MEDIAN(0,(TODAY()-'Proyecto Datos (OKR´s)'!$K75)/MAX(1,$R75-'Proyecto Datos (OKR´s)'!$K75),1),"")</f>
      </c>
      <c r="V75" s="201">
        <f>IF($C75,$I75-$U75,"")</f>
      </c>
      <c r="W75" s="201">
        <f>IF($C75,IF($J75="Completado",0,MAX(0,TODAY()-$H75)),"")</f>
      </c>
      <c r="X75" s="201">
        <f>IF($C75,IF(ISNUMBER($H75),$R75-$H75,0),"")</f>
      </c>
      <c r="Y75" s="201">
        <f>IF($C75,COUNTIFS($G$7:$G$200,$G75,$J$7:$J$200,"&lt;&gt;Completado",$J$7:$J$200,"&lt;&gt;"),"")</f>
      </c>
      <c r="Z75" s="201">
        <f>IF($C75,AND($I75=0,'Proyecto Datos (OKR´s)'!$K75&lt;=TODAY(),$J75&lt;&gt;"Completado"),"")</f>
      </c>
      <c r="AA75" s="201">
        <f>IF($C75,ROUND(100*(0.35*$AK75+0.3*$AL75+0.2*$AM75+0.15*MEDIAN(0,($Y75-4)/8,1)),0),"")</f>
      </c>
      <c r="AB75" s="202">
        <f>IF($C75,IF($J75="Completado","—",IF($AA75&gt;=70,"Crítica",IF($AA75&gt;=45,"Alta",IF($AA75&gt;=25,"Media","Baja")))),"")</f>
      </c>
      <c r="AC75" s="202">
        <f>IF($C75,IF(LEN(TRIM($AN75))=0,"—",TRIM($AN75)),"")</f>
      </c>
      <c r="AD75" s="201">
        <f>IF($C75,IF($N75=9999,9999,IF($J75="Completado",$N75,MAX($N75,'Historial de Sprints'!$C$7))),"")</f>
      </c>
      <c r="AE75" s="201">
        <f>IF($C75,IF($AD75=9999,"(Sin sprint)",$AD75),"")</f>
      </c>
      <c r="AF75" s="201">
        <f>IF($C75,AND($N75&lt;&gt;9999,$AD75&lt;&gt;$N75),FALSE)</f>
      </c>
      <c r="AG75" s="201">
        <f>IF($AF75,'Historial de Sprints'!$C$5+$N75*'Historial de Sprints'!$C$6-1,"")</f>
      </c>
      <c r="AH75" s="202">
        <f>IF($AF75,"No completada al cierre del Sprint "&amp;$N75&amp;" -&gt; reasignada al Sprint "&amp;$AD75,"")</f>
      </c>
      <c r="AI75" s="201">
        <f>IF($AF75,$N75*100000+ROW(),"")</f>
      </c>
      <c r="AJ75" s="201">
        <f>IF($C75,$AA75*1000000-MEDIAN(-9999,$K75,9999)*100+(300-ROW()),"")</f>
      </c>
      <c r="AK75" s="201">
        <f>IF($C75,IF($J75="Completado",0,IF($K75&lt;0,1,IF($K75&lt;=3,0.9,IF($K75&lt;=7,0.7,IF($K75&lt;=14,0.45,0.2))))),"")</f>
      </c>
      <c r="AL75" s="201">
        <f>IF($C75,IF($J75="Completado",0,MEDIAN(0,MAX(-$V75,$W75/30),1)),"")</f>
      </c>
      <c r="AM75" s="201">
        <f>IF($C75,IF($J75="Completado",0,IF($Z75,1,IF(AND($I75&lt;0.5,$K75&lt;=7),0.7,0.3))),"")</f>
      </c>
      <c r="AN75" s="202">
        <f>IF($C75,IF(OR($V75&lt;-0.2,$W75&gt;0),"ATRASO ","")&amp;IF($Z75,"BLOQUEO ","")&amp;IF($Y75&gt;8,"SOBRECARGA ","")&amp;IF($X75&gt;0,"DESVÍO-PLAN ",""),"")</f>
      </c>
    </row>
    <row r="76">
      <c r="A76" s="201">
        <f>ROW()</f>
      </c>
      <c r="B76" s="201">
        <f>ISTEXT('Proyecto Datos (OKR´s)'!$K76)</f>
      </c>
      <c r="C76" s="201">
        <f>AND(LEN('Proyecto Datos (OKR´s)'!$G76)&gt;0,NOT($B76),OR(ISNUMBER('Proyecto Datos (OKR´s)'!$F76),ISNUMBER('Proyecto Datos (OKR´s)'!$L76)))</f>
      </c>
      <c r="D76" s="202">
        <f>IF($C76,IFERROR(LOOKUP(2,1/((ISTEXT('Proyecto Datos (OKR´s)'!$K$7:$K76))*(LEN('Proyecto Datos (OKR´s)'!$G$7:$G76)&gt;0)),'Proyecto Datos (OKR´s)'!$G$7:$G76),""),"")</f>
      </c>
      <c r="E76" s="201">
        <f>IF($C76,'Proyecto Datos (OKR´s)'!$E76,"")</f>
      </c>
      <c r="F76" s="202">
        <f>IF($C76,'Proyecto Datos (OKR´s)'!$G76,"")</f>
      </c>
      <c r="G76" s="202">
        <f>IF($C76,IF('Proyecto Datos (OKR´s)'!$I76="","(Sin asignar)",'Proyecto Datos (OKR´s)'!$I76),"")</f>
      </c>
      <c r="H76" s="201">
        <f>IF($C76,IF(ISNUMBER('Proyecto Datos (OKR´s)'!$F76),'Proyecto Datos (OKR´s)'!$F76,'Proyecto Datos (OKR´s)'!$L76),"")</f>
      </c>
      <c r="I76" s="201">
        <f>IF($C76,'Proyecto Datos (OKR´s)'!$J76,"")</f>
      </c>
      <c r="J76" s="202">
        <f>IF($C76,IF($I76&gt;=1,"Completado",IF($H76&lt;TODAY(),"Vencido",IF(($H76-TODAY())&lt;='Entregas Próximas'!$M$3,"Próximo a vencer","En curso"))),"")</f>
      </c>
      <c r="K76" s="201">
        <f>IF($C76,$H76-TODAY(),"")</f>
      </c>
      <c r="L76" s="201">
        <f>IF($C76,$AD76*1000000+$H76+ROW()/100000,"")</f>
      </c>
      <c r="M76" s="201">
        <f>IF($C76,IF($AD76=9999,"(Sin sprint)",$AD76),"")</f>
      </c>
      <c r="N76" s="201">
        <f>IF($C76,IF('Proyecto Datos (OKR´s)'!$E76="",9999,'Proyecto Datos (OKR´s)'!$E76),"")</f>
      </c>
      <c r="O76" s="201">
        <f>IF($C76,"T"&amp;TEXT(ROW(),"000"),"")</f>
      </c>
      <c r="R76" s="201">
        <f>IF($C76,IF(ISNUMBER('Proyecto Datos (OKR´s)'!$L76),'Proyecto Datos (OKR´s)'!$L76,$H76),"")</f>
      </c>
      <c r="S76" s="201">
        <f>IF($C76,$R76-'Proyecto Datos (OKR´s)'!$K76+1,"")</f>
      </c>
      <c r="T76" s="201">
        <f>IF($C76,MAX(0,TODAY()-'Proyecto Datos (OKR´s)'!$K76),"")</f>
      </c>
      <c r="U76" s="201">
        <f>IF($C76,MEDIAN(0,(TODAY()-'Proyecto Datos (OKR´s)'!$K76)/MAX(1,$R76-'Proyecto Datos (OKR´s)'!$K76),1),"")</f>
      </c>
      <c r="V76" s="201">
        <f>IF($C76,$I76-$U76,"")</f>
      </c>
      <c r="W76" s="201">
        <f>IF($C76,IF($J76="Completado",0,MAX(0,TODAY()-$H76)),"")</f>
      </c>
      <c r="X76" s="201">
        <f>IF($C76,IF(ISNUMBER($H76),$R76-$H76,0),"")</f>
      </c>
      <c r="Y76" s="201">
        <f>IF($C76,COUNTIFS($G$7:$G$200,$G76,$J$7:$J$200,"&lt;&gt;Completado",$J$7:$J$200,"&lt;&gt;"),"")</f>
      </c>
      <c r="Z76" s="201">
        <f>IF($C76,AND($I76=0,'Proyecto Datos (OKR´s)'!$K76&lt;=TODAY(),$J76&lt;&gt;"Completado"),"")</f>
      </c>
      <c r="AA76" s="201">
        <f>IF($C76,ROUND(100*(0.35*$AK76+0.3*$AL76+0.2*$AM76+0.15*MEDIAN(0,($Y76-4)/8,1)),0),"")</f>
      </c>
      <c r="AB76" s="202">
        <f>IF($C76,IF($J76="Completado","—",IF($AA76&gt;=70,"Crítica",IF($AA76&gt;=45,"Alta",IF($AA76&gt;=25,"Media","Baja")))),"")</f>
      </c>
      <c r="AC76" s="202">
        <f>IF($C76,IF(LEN(TRIM($AN76))=0,"—",TRIM($AN76)),"")</f>
      </c>
      <c r="AD76" s="201">
        <f>IF($C76,IF($N76=9999,9999,IF($J76="Completado",$N76,MAX($N76,'Historial de Sprints'!$C$7))),"")</f>
      </c>
      <c r="AE76" s="201">
        <f>IF($C76,IF($AD76=9999,"(Sin sprint)",$AD76),"")</f>
      </c>
      <c r="AF76" s="201">
        <f>IF($C76,AND($N76&lt;&gt;9999,$AD76&lt;&gt;$N76),FALSE)</f>
      </c>
      <c r="AG76" s="201">
        <f>IF($AF76,'Historial de Sprints'!$C$5+$N76*'Historial de Sprints'!$C$6-1,"")</f>
      </c>
      <c r="AH76" s="202">
        <f>IF($AF76,"No completada al cierre del Sprint "&amp;$N76&amp;" -&gt; reasignada al Sprint "&amp;$AD76,"")</f>
      </c>
      <c r="AI76" s="201">
        <f>IF($AF76,$N76*100000+ROW(),"")</f>
      </c>
      <c r="AJ76" s="201">
        <f>IF($C76,$AA76*1000000-MEDIAN(-9999,$K76,9999)*100+(300-ROW()),"")</f>
      </c>
      <c r="AK76" s="201">
        <f>IF($C76,IF($J76="Completado",0,IF($K76&lt;0,1,IF($K76&lt;=3,0.9,IF($K76&lt;=7,0.7,IF($K76&lt;=14,0.45,0.2))))),"")</f>
      </c>
      <c r="AL76" s="201">
        <f>IF($C76,IF($J76="Completado",0,MEDIAN(0,MAX(-$V76,$W76/30),1)),"")</f>
      </c>
      <c r="AM76" s="201">
        <f>IF($C76,IF($J76="Completado",0,IF($Z76,1,IF(AND($I76&lt;0.5,$K76&lt;=7),0.7,0.3))),"")</f>
      </c>
      <c r="AN76" s="202">
        <f>IF($C76,IF(OR($V76&lt;-0.2,$W76&gt;0),"ATRASO ","")&amp;IF($Z76,"BLOQUEO ","")&amp;IF($Y76&gt;8,"SOBRECARGA ","")&amp;IF($X76&gt;0,"DESVÍO-PLAN ",""),"")</f>
      </c>
    </row>
    <row r="77">
      <c r="A77" s="201">
        <f>ROW()</f>
      </c>
      <c r="B77" s="201">
        <f>ISTEXT('Proyecto Datos (OKR´s)'!$K77)</f>
      </c>
      <c r="C77" s="201">
        <f>AND(LEN('Proyecto Datos (OKR´s)'!$G77)&gt;0,NOT($B77),OR(ISNUMBER('Proyecto Datos (OKR´s)'!$F77),ISNUMBER('Proyecto Datos (OKR´s)'!$L77)))</f>
      </c>
      <c r="D77" s="202">
        <f>IF($C77,IFERROR(LOOKUP(2,1/((ISTEXT('Proyecto Datos (OKR´s)'!$K$7:$K77))*(LEN('Proyecto Datos (OKR´s)'!$G$7:$G77)&gt;0)),'Proyecto Datos (OKR´s)'!$G$7:$G77),""),"")</f>
      </c>
      <c r="E77" s="201">
        <f>IF($C77,'Proyecto Datos (OKR´s)'!$E77,"")</f>
      </c>
      <c r="F77" s="202">
        <f>IF($C77,'Proyecto Datos (OKR´s)'!$G77,"")</f>
      </c>
      <c r="G77" s="202">
        <f>IF($C77,IF('Proyecto Datos (OKR´s)'!$I77="","(Sin asignar)",'Proyecto Datos (OKR´s)'!$I77),"")</f>
      </c>
      <c r="H77" s="201">
        <f>IF($C77,IF(ISNUMBER('Proyecto Datos (OKR´s)'!$F77),'Proyecto Datos (OKR´s)'!$F77,'Proyecto Datos (OKR´s)'!$L77),"")</f>
      </c>
      <c r="I77" s="201">
        <f>IF($C77,'Proyecto Datos (OKR´s)'!$J77,"")</f>
      </c>
      <c r="J77" s="202">
        <f>IF($C77,IF($I77&gt;=1,"Completado",IF($H77&lt;TODAY(),"Vencido",IF(($H77-TODAY())&lt;='Entregas Próximas'!$M$3,"Próximo a vencer","En curso"))),"")</f>
      </c>
      <c r="K77" s="201">
        <f>IF($C77,$H77-TODAY(),"")</f>
      </c>
      <c r="L77" s="201">
        <f>IF($C77,$AD77*1000000+$H77+ROW()/100000,"")</f>
      </c>
      <c r="M77" s="201">
        <f>IF($C77,IF($AD77=9999,"(Sin sprint)",$AD77),"")</f>
      </c>
      <c r="N77" s="201">
        <f>IF($C77,IF('Proyecto Datos (OKR´s)'!$E77="",9999,'Proyecto Datos (OKR´s)'!$E77),"")</f>
      </c>
      <c r="O77" s="201">
        <f>IF($C77,"T"&amp;TEXT(ROW(),"000"),"")</f>
      </c>
      <c r="R77" s="201">
        <f>IF($C77,IF(ISNUMBER('Proyecto Datos (OKR´s)'!$L77),'Proyecto Datos (OKR´s)'!$L77,$H77),"")</f>
      </c>
      <c r="S77" s="201">
        <f>IF($C77,$R77-'Proyecto Datos (OKR´s)'!$K77+1,"")</f>
      </c>
      <c r="T77" s="201">
        <f>IF($C77,MAX(0,TODAY()-'Proyecto Datos (OKR´s)'!$K77),"")</f>
      </c>
      <c r="U77" s="201">
        <f>IF($C77,MEDIAN(0,(TODAY()-'Proyecto Datos (OKR´s)'!$K77)/MAX(1,$R77-'Proyecto Datos (OKR´s)'!$K77),1),"")</f>
      </c>
      <c r="V77" s="201">
        <f>IF($C77,$I77-$U77,"")</f>
      </c>
      <c r="W77" s="201">
        <f>IF($C77,IF($J77="Completado",0,MAX(0,TODAY()-$H77)),"")</f>
      </c>
      <c r="X77" s="201">
        <f>IF($C77,IF(ISNUMBER($H77),$R77-$H77,0),"")</f>
      </c>
      <c r="Y77" s="201">
        <f>IF($C77,COUNTIFS($G$7:$G$200,$G77,$J$7:$J$200,"&lt;&gt;Completado",$J$7:$J$200,"&lt;&gt;"),"")</f>
      </c>
      <c r="Z77" s="201">
        <f>IF($C77,AND($I77=0,'Proyecto Datos (OKR´s)'!$K77&lt;=TODAY(),$J77&lt;&gt;"Completado"),"")</f>
      </c>
      <c r="AA77" s="201">
        <f>IF($C77,ROUND(100*(0.35*$AK77+0.3*$AL77+0.2*$AM77+0.15*MEDIAN(0,($Y77-4)/8,1)),0),"")</f>
      </c>
      <c r="AB77" s="202">
        <f>IF($C77,IF($J77="Completado","—",IF($AA77&gt;=70,"Crítica",IF($AA77&gt;=45,"Alta",IF($AA77&gt;=25,"Media","Baja")))),"")</f>
      </c>
      <c r="AC77" s="202">
        <f>IF($C77,IF(LEN(TRIM($AN77))=0,"—",TRIM($AN77)),"")</f>
      </c>
      <c r="AD77" s="201">
        <f>IF($C77,IF($N77=9999,9999,IF($J77="Completado",$N77,MAX($N77,'Historial de Sprints'!$C$7))),"")</f>
      </c>
      <c r="AE77" s="201">
        <f>IF($C77,IF($AD77=9999,"(Sin sprint)",$AD77),"")</f>
      </c>
      <c r="AF77" s="201">
        <f>IF($C77,AND($N77&lt;&gt;9999,$AD77&lt;&gt;$N77),FALSE)</f>
      </c>
      <c r="AG77" s="201">
        <f>IF($AF77,'Historial de Sprints'!$C$5+$N77*'Historial de Sprints'!$C$6-1,"")</f>
      </c>
      <c r="AH77" s="202">
        <f>IF($AF77,"No completada al cierre del Sprint "&amp;$N77&amp;" -&gt; reasignada al Sprint "&amp;$AD77,"")</f>
      </c>
      <c r="AI77" s="201">
        <f>IF($AF77,$N77*100000+ROW(),"")</f>
      </c>
      <c r="AJ77" s="201">
        <f>IF($C77,$AA77*1000000-MEDIAN(-9999,$K77,9999)*100+(300-ROW()),"")</f>
      </c>
      <c r="AK77" s="201">
        <f>IF($C77,IF($J77="Completado",0,IF($K77&lt;0,1,IF($K77&lt;=3,0.9,IF($K77&lt;=7,0.7,IF($K77&lt;=14,0.45,0.2))))),"")</f>
      </c>
      <c r="AL77" s="201">
        <f>IF($C77,IF($J77="Completado",0,MEDIAN(0,MAX(-$V77,$W77/30),1)),"")</f>
      </c>
      <c r="AM77" s="201">
        <f>IF($C77,IF($J77="Completado",0,IF($Z77,1,IF(AND($I77&lt;0.5,$K77&lt;=7),0.7,0.3))),"")</f>
      </c>
      <c r="AN77" s="202">
        <f>IF($C77,IF(OR($V77&lt;-0.2,$W77&gt;0),"ATRASO ","")&amp;IF($Z77,"BLOQUEO ","")&amp;IF($Y77&gt;8,"SOBRECARGA ","")&amp;IF($X77&gt;0,"DESVÍO-PLAN ",""),"")</f>
      </c>
    </row>
    <row r="78">
      <c r="A78" s="201">
        <f>ROW()</f>
      </c>
      <c r="B78" s="201">
        <f>ISTEXT('Proyecto Datos (OKR´s)'!$K78)</f>
      </c>
      <c r="C78" s="201">
        <f>AND(LEN('Proyecto Datos (OKR´s)'!$G78)&gt;0,NOT($B78),OR(ISNUMBER('Proyecto Datos (OKR´s)'!$F78),ISNUMBER('Proyecto Datos (OKR´s)'!$L78)))</f>
      </c>
      <c r="D78" s="202">
        <f>IF($C78,IFERROR(LOOKUP(2,1/((ISTEXT('Proyecto Datos (OKR´s)'!$K$7:$K78))*(LEN('Proyecto Datos (OKR´s)'!$G$7:$G78)&gt;0)),'Proyecto Datos (OKR´s)'!$G$7:$G78),""),"")</f>
      </c>
      <c r="E78" s="201">
        <f>IF($C78,'Proyecto Datos (OKR´s)'!$E78,"")</f>
      </c>
      <c r="F78" s="202">
        <f>IF($C78,'Proyecto Datos (OKR´s)'!$G78,"")</f>
      </c>
      <c r="G78" s="202">
        <f>IF($C78,IF('Proyecto Datos (OKR´s)'!$I78="","(Sin asignar)",'Proyecto Datos (OKR´s)'!$I78),"")</f>
      </c>
      <c r="H78" s="201">
        <f>IF($C78,IF(ISNUMBER('Proyecto Datos (OKR´s)'!$F78),'Proyecto Datos (OKR´s)'!$F78,'Proyecto Datos (OKR´s)'!$L78),"")</f>
      </c>
      <c r="I78" s="201">
        <f>IF($C78,'Proyecto Datos (OKR´s)'!$J78,"")</f>
      </c>
      <c r="J78" s="202">
        <f>IF($C78,IF($I78&gt;=1,"Completado",IF($H78&lt;TODAY(),"Vencido",IF(($H78-TODAY())&lt;='Entregas Próximas'!$M$3,"Próximo a vencer","En curso"))),"")</f>
      </c>
      <c r="K78" s="201">
        <f>IF($C78,$H78-TODAY(),"")</f>
      </c>
      <c r="L78" s="201">
        <f>IF($C78,$AD78*1000000+$H78+ROW()/100000,"")</f>
      </c>
      <c r="M78" s="201">
        <f>IF($C78,IF($AD78=9999,"(Sin sprint)",$AD78),"")</f>
      </c>
      <c r="N78" s="201">
        <f>IF($C78,IF('Proyecto Datos (OKR´s)'!$E78="",9999,'Proyecto Datos (OKR´s)'!$E78),"")</f>
      </c>
      <c r="O78" s="201">
        <f>IF($C78,"T"&amp;TEXT(ROW(),"000"),"")</f>
      </c>
      <c r="R78" s="201">
        <f>IF($C78,IF(ISNUMBER('Proyecto Datos (OKR´s)'!$L78),'Proyecto Datos (OKR´s)'!$L78,$H78),"")</f>
      </c>
      <c r="S78" s="201">
        <f>IF($C78,$R78-'Proyecto Datos (OKR´s)'!$K78+1,"")</f>
      </c>
      <c r="T78" s="201">
        <f>IF($C78,MAX(0,TODAY()-'Proyecto Datos (OKR´s)'!$K78),"")</f>
      </c>
      <c r="U78" s="201">
        <f>IF($C78,MEDIAN(0,(TODAY()-'Proyecto Datos (OKR´s)'!$K78)/MAX(1,$R78-'Proyecto Datos (OKR´s)'!$K78),1),"")</f>
      </c>
      <c r="V78" s="201">
        <f>IF($C78,$I78-$U78,"")</f>
      </c>
      <c r="W78" s="201">
        <f>IF($C78,IF($J78="Completado",0,MAX(0,TODAY()-$H78)),"")</f>
      </c>
      <c r="X78" s="201">
        <f>IF($C78,IF(ISNUMBER($H78),$R78-$H78,0),"")</f>
      </c>
      <c r="Y78" s="201">
        <f>IF($C78,COUNTIFS($G$7:$G$200,$G78,$J$7:$J$200,"&lt;&gt;Completado",$J$7:$J$200,"&lt;&gt;"),"")</f>
      </c>
      <c r="Z78" s="201">
        <f>IF($C78,AND($I78=0,'Proyecto Datos (OKR´s)'!$K78&lt;=TODAY(),$J78&lt;&gt;"Completado"),"")</f>
      </c>
      <c r="AA78" s="201">
        <f>IF($C78,ROUND(100*(0.35*$AK78+0.3*$AL78+0.2*$AM78+0.15*MEDIAN(0,($Y78-4)/8,1)),0),"")</f>
      </c>
      <c r="AB78" s="202">
        <f>IF($C78,IF($J78="Completado","—",IF($AA78&gt;=70,"Crítica",IF($AA78&gt;=45,"Alta",IF($AA78&gt;=25,"Media","Baja")))),"")</f>
      </c>
      <c r="AC78" s="202">
        <f>IF($C78,IF(LEN(TRIM($AN78))=0,"—",TRIM($AN78)),"")</f>
      </c>
      <c r="AD78" s="201">
        <f>IF($C78,IF($N78=9999,9999,IF($J78="Completado",$N78,MAX($N78,'Historial de Sprints'!$C$7))),"")</f>
      </c>
      <c r="AE78" s="201">
        <f>IF($C78,IF($AD78=9999,"(Sin sprint)",$AD78),"")</f>
      </c>
      <c r="AF78" s="201">
        <f>IF($C78,AND($N78&lt;&gt;9999,$AD78&lt;&gt;$N78),FALSE)</f>
      </c>
      <c r="AG78" s="201">
        <f>IF($AF78,'Historial de Sprints'!$C$5+$N78*'Historial de Sprints'!$C$6-1,"")</f>
      </c>
      <c r="AH78" s="202">
        <f>IF($AF78,"No completada al cierre del Sprint "&amp;$N78&amp;" -&gt; reasignada al Sprint "&amp;$AD78,"")</f>
      </c>
      <c r="AI78" s="201">
        <f>IF($AF78,$N78*100000+ROW(),"")</f>
      </c>
      <c r="AJ78" s="201">
        <f>IF($C78,$AA78*1000000-MEDIAN(-9999,$K78,9999)*100+(300-ROW()),"")</f>
      </c>
      <c r="AK78" s="201">
        <f>IF($C78,IF($J78="Completado",0,IF($K78&lt;0,1,IF($K78&lt;=3,0.9,IF($K78&lt;=7,0.7,IF($K78&lt;=14,0.45,0.2))))),"")</f>
      </c>
      <c r="AL78" s="201">
        <f>IF($C78,IF($J78="Completado",0,MEDIAN(0,MAX(-$V78,$W78/30),1)),"")</f>
      </c>
      <c r="AM78" s="201">
        <f>IF($C78,IF($J78="Completado",0,IF($Z78,1,IF(AND($I78&lt;0.5,$K78&lt;=7),0.7,0.3))),"")</f>
      </c>
      <c r="AN78" s="202">
        <f>IF($C78,IF(OR($V78&lt;-0.2,$W78&gt;0),"ATRASO ","")&amp;IF($Z78,"BLOQUEO ","")&amp;IF($Y78&gt;8,"SOBRECARGA ","")&amp;IF($X78&gt;0,"DESVÍO-PLAN ",""),"")</f>
      </c>
    </row>
    <row r="79">
      <c r="A79" s="201">
        <f>ROW()</f>
      </c>
      <c r="B79" s="201">
        <f>ISTEXT('Proyecto Datos (OKR´s)'!$K79)</f>
      </c>
      <c r="C79" s="201">
        <f>AND(LEN('Proyecto Datos (OKR´s)'!$G79)&gt;0,NOT($B79),OR(ISNUMBER('Proyecto Datos (OKR´s)'!$F79),ISNUMBER('Proyecto Datos (OKR´s)'!$L79)))</f>
      </c>
      <c r="D79" s="202">
        <f>IF($C79,IFERROR(LOOKUP(2,1/((ISTEXT('Proyecto Datos (OKR´s)'!$K$7:$K79))*(LEN('Proyecto Datos (OKR´s)'!$G$7:$G79)&gt;0)),'Proyecto Datos (OKR´s)'!$G$7:$G79),""),"")</f>
      </c>
      <c r="E79" s="201">
        <f>IF($C79,'Proyecto Datos (OKR´s)'!$E79,"")</f>
      </c>
      <c r="F79" s="202">
        <f>IF($C79,'Proyecto Datos (OKR´s)'!$G79,"")</f>
      </c>
      <c r="G79" s="202">
        <f>IF($C79,IF('Proyecto Datos (OKR´s)'!$I79="","(Sin asignar)",'Proyecto Datos (OKR´s)'!$I79),"")</f>
      </c>
      <c r="H79" s="201">
        <f>IF($C79,IF(ISNUMBER('Proyecto Datos (OKR´s)'!$F79),'Proyecto Datos (OKR´s)'!$F79,'Proyecto Datos (OKR´s)'!$L79),"")</f>
      </c>
      <c r="I79" s="201">
        <f>IF($C79,'Proyecto Datos (OKR´s)'!$J79,"")</f>
      </c>
      <c r="J79" s="202">
        <f>IF($C79,IF($I79&gt;=1,"Completado",IF($H79&lt;TODAY(),"Vencido",IF(($H79-TODAY())&lt;='Entregas Próximas'!$M$3,"Próximo a vencer","En curso"))),"")</f>
      </c>
      <c r="K79" s="201">
        <f>IF($C79,$H79-TODAY(),"")</f>
      </c>
      <c r="L79" s="201">
        <f>IF($C79,$AD79*1000000+$H79+ROW()/100000,"")</f>
      </c>
      <c r="M79" s="201">
        <f>IF($C79,IF($AD79=9999,"(Sin sprint)",$AD79),"")</f>
      </c>
      <c r="N79" s="201">
        <f>IF($C79,IF('Proyecto Datos (OKR´s)'!$E79="",9999,'Proyecto Datos (OKR´s)'!$E79),"")</f>
      </c>
      <c r="O79" s="201">
        <f>IF($C79,"T"&amp;TEXT(ROW(),"000"),"")</f>
      </c>
      <c r="R79" s="201">
        <f>IF($C79,IF(ISNUMBER('Proyecto Datos (OKR´s)'!$L79),'Proyecto Datos (OKR´s)'!$L79,$H79),"")</f>
      </c>
      <c r="S79" s="201">
        <f>IF($C79,$R79-'Proyecto Datos (OKR´s)'!$K79+1,"")</f>
      </c>
      <c r="T79" s="201">
        <f>IF($C79,MAX(0,TODAY()-'Proyecto Datos (OKR´s)'!$K79),"")</f>
      </c>
      <c r="U79" s="201">
        <f>IF($C79,MEDIAN(0,(TODAY()-'Proyecto Datos (OKR´s)'!$K79)/MAX(1,$R79-'Proyecto Datos (OKR´s)'!$K79),1),"")</f>
      </c>
      <c r="V79" s="201">
        <f>IF($C79,$I79-$U79,"")</f>
      </c>
      <c r="W79" s="201">
        <f>IF($C79,IF($J79="Completado",0,MAX(0,TODAY()-$H79)),"")</f>
      </c>
      <c r="X79" s="201">
        <f>IF($C79,IF(ISNUMBER($H79),$R79-$H79,0),"")</f>
      </c>
      <c r="Y79" s="201">
        <f>IF($C79,COUNTIFS($G$7:$G$200,$G79,$J$7:$J$200,"&lt;&gt;Completado",$J$7:$J$200,"&lt;&gt;"),"")</f>
      </c>
      <c r="Z79" s="201">
        <f>IF($C79,AND($I79=0,'Proyecto Datos (OKR´s)'!$K79&lt;=TODAY(),$J79&lt;&gt;"Completado"),"")</f>
      </c>
      <c r="AA79" s="201">
        <f>IF($C79,ROUND(100*(0.35*$AK79+0.3*$AL79+0.2*$AM79+0.15*MEDIAN(0,($Y79-4)/8,1)),0),"")</f>
      </c>
      <c r="AB79" s="202">
        <f>IF($C79,IF($J79="Completado","—",IF($AA79&gt;=70,"Crítica",IF($AA79&gt;=45,"Alta",IF($AA79&gt;=25,"Media","Baja")))),"")</f>
      </c>
      <c r="AC79" s="202">
        <f>IF($C79,IF(LEN(TRIM($AN79))=0,"—",TRIM($AN79)),"")</f>
      </c>
      <c r="AD79" s="201">
        <f>IF($C79,IF($N79=9999,9999,IF($J79="Completado",$N79,MAX($N79,'Historial de Sprints'!$C$7))),"")</f>
      </c>
      <c r="AE79" s="201">
        <f>IF($C79,IF($AD79=9999,"(Sin sprint)",$AD79),"")</f>
      </c>
      <c r="AF79" s="201">
        <f>IF($C79,AND($N79&lt;&gt;9999,$AD79&lt;&gt;$N79),FALSE)</f>
      </c>
      <c r="AG79" s="201">
        <f>IF($AF79,'Historial de Sprints'!$C$5+$N79*'Historial de Sprints'!$C$6-1,"")</f>
      </c>
      <c r="AH79" s="202">
        <f>IF($AF79,"No completada al cierre del Sprint "&amp;$N79&amp;" -&gt; reasignada al Sprint "&amp;$AD79,"")</f>
      </c>
      <c r="AI79" s="201">
        <f>IF($AF79,$N79*100000+ROW(),"")</f>
      </c>
      <c r="AJ79" s="201">
        <f>IF($C79,$AA79*1000000-MEDIAN(-9999,$K79,9999)*100+(300-ROW()),"")</f>
      </c>
      <c r="AK79" s="201">
        <f>IF($C79,IF($J79="Completado",0,IF($K79&lt;0,1,IF($K79&lt;=3,0.9,IF($K79&lt;=7,0.7,IF($K79&lt;=14,0.45,0.2))))),"")</f>
      </c>
      <c r="AL79" s="201">
        <f>IF($C79,IF($J79="Completado",0,MEDIAN(0,MAX(-$V79,$W79/30),1)),"")</f>
      </c>
      <c r="AM79" s="201">
        <f>IF($C79,IF($J79="Completado",0,IF($Z79,1,IF(AND($I79&lt;0.5,$K79&lt;=7),0.7,0.3))),"")</f>
      </c>
      <c r="AN79" s="202">
        <f>IF($C79,IF(OR($V79&lt;-0.2,$W79&gt;0),"ATRASO ","")&amp;IF($Z79,"BLOQUEO ","")&amp;IF($Y79&gt;8,"SOBRECARGA ","")&amp;IF($X79&gt;0,"DESVÍO-PLAN ",""),"")</f>
      </c>
    </row>
    <row r="80">
      <c r="A80" s="201">
        <f>ROW()</f>
      </c>
      <c r="B80" s="201">
        <f>ISTEXT('Proyecto Datos (OKR´s)'!$K80)</f>
      </c>
      <c r="C80" s="201">
        <f>AND(LEN('Proyecto Datos (OKR´s)'!$G80)&gt;0,NOT($B80),OR(ISNUMBER('Proyecto Datos (OKR´s)'!$F80),ISNUMBER('Proyecto Datos (OKR´s)'!$L80)))</f>
      </c>
      <c r="D80" s="202">
        <f>IF($C80,IFERROR(LOOKUP(2,1/((ISTEXT('Proyecto Datos (OKR´s)'!$K$7:$K80))*(LEN('Proyecto Datos (OKR´s)'!$G$7:$G80)&gt;0)),'Proyecto Datos (OKR´s)'!$G$7:$G80),""),"")</f>
      </c>
      <c r="E80" s="201">
        <f>IF($C80,'Proyecto Datos (OKR´s)'!$E80,"")</f>
      </c>
      <c r="F80" s="202">
        <f>IF($C80,'Proyecto Datos (OKR´s)'!$G80,"")</f>
      </c>
      <c r="G80" s="202">
        <f>IF($C80,IF('Proyecto Datos (OKR´s)'!$I80="","(Sin asignar)",'Proyecto Datos (OKR´s)'!$I80),"")</f>
      </c>
      <c r="H80" s="201">
        <f>IF($C80,IF(ISNUMBER('Proyecto Datos (OKR´s)'!$F80),'Proyecto Datos (OKR´s)'!$F80,'Proyecto Datos (OKR´s)'!$L80),"")</f>
      </c>
      <c r="I80" s="201">
        <f>IF($C80,'Proyecto Datos (OKR´s)'!$J80,"")</f>
      </c>
      <c r="J80" s="202">
        <f>IF($C80,IF($I80&gt;=1,"Completado",IF($H80&lt;TODAY(),"Vencido",IF(($H80-TODAY())&lt;='Entregas Próximas'!$M$3,"Próximo a vencer","En curso"))),"")</f>
      </c>
      <c r="K80" s="201">
        <f>IF($C80,$H80-TODAY(),"")</f>
      </c>
      <c r="L80" s="201">
        <f>IF($C80,$AD80*1000000+$H80+ROW()/100000,"")</f>
      </c>
      <c r="M80" s="201">
        <f>IF($C80,IF($AD80=9999,"(Sin sprint)",$AD80),"")</f>
      </c>
      <c r="N80" s="201">
        <f>IF($C80,IF('Proyecto Datos (OKR´s)'!$E80="",9999,'Proyecto Datos (OKR´s)'!$E80),"")</f>
      </c>
      <c r="O80" s="201">
        <f>IF($C80,"T"&amp;TEXT(ROW(),"000"),"")</f>
      </c>
      <c r="R80" s="201">
        <f>IF($C80,IF(ISNUMBER('Proyecto Datos (OKR´s)'!$L80),'Proyecto Datos (OKR´s)'!$L80,$H80),"")</f>
      </c>
      <c r="S80" s="201">
        <f>IF($C80,$R80-'Proyecto Datos (OKR´s)'!$K80+1,"")</f>
      </c>
      <c r="T80" s="201">
        <f>IF($C80,MAX(0,TODAY()-'Proyecto Datos (OKR´s)'!$K80),"")</f>
      </c>
      <c r="U80" s="201">
        <f>IF($C80,MEDIAN(0,(TODAY()-'Proyecto Datos (OKR´s)'!$K80)/MAX(1,$R80-'Proyecto Datos (OKR´s)'!$K80),1),"")</f>
      </c>
      <c r="V80" s="201">
        <f>IF($C80,$I80-$U80,"")</f>
      </c>
      <c r="W80" s="201">
        <f>IF($C80,IF($J80="Completado",0,MAX(0,TODAY()-$H80)),"")</f>
      </c>
      <c r="X80" s="201">
        <f>IF($C80,IF(ISNUMBER($H80),$R80-$H80,0),"")</f>
      </c>
      <c r="Y80" s="201">
        <f>IF($C80,COUNTIFS($G$7:$G$200,$G80,$J$7:$J$200,"&lt;&gt;Completado",$J$7:$J$200,"&lt;&gt;"),"")</f>
      </c>
      <c r="Z80" s="201">
        <f>IF($C80,AND($I80=0,'Proyecto Datos (OKR´s)'!$K80&lt;=TODAY(),$J80&lt;&gt;"Completado"),"")</f>
      </c>
      <c r="AA80" s="201">
        <f>IF($C80,ROUND(100*(0.35*$AK80+0.3*$AL80+0.2*$AM80+0.15*MEDIAN(0,($Y80-4)/8,1)),0),"")</f>
      </c>
      <c r="AB80" s="202">
        <f>IF($C80,IF($J80="Completado","—",IF($AA80&gt;=70,"Crítica",IF($AA80&gt;=45,"Alta",IF($AA80&gt;=25,"Media","Baja")))),"")</f>
      </c>
      <c r="AC80" s="202">
        <f>IF($C80,IF(LEN(TRIM($AN80))=0,"—",TRIM($AN80)),"")</f>
      </c>
      <c r="AD80" s="201">
        <f>IF($C80,IF($N80=9999,9999,IF($J80="Completado",$N80,MAX($N80,'Historial de Sprints'!$C$7))),"")</f>
      </c>
      <c r="AE80" s="201">
        <f>IF($C80,IF($AD80=9999,"(Sin sprint)",$AD80),"")</f>
      </c>
      <c r="AF80" s="201">
        <f>IF($C80,AND($N80&lt;&gt;9999,$AD80&lt;&gt;$N80),FALSE)</f>
      </c>
      <c r="AG80" s="201">
        <f>IF($AF80,'Historial de Sprints'!$C$5+$N80*'Historial de Sprints'!$C$6-1,"")</f>
      </c>
      <c r="AH80" s="202">
        <f>IF($AF80,"No completada al cierre del Sprint "&amp;$N80&amp;" -&gt; reasignada al Sprint "&amp;$AD80,"")</f>
      </c>
      <c r="AI80" s="201">
        <f>IF($AF80,$N80*100000+ROW(),"")</f>
      </c>
      <c r="AJ80" s="201">
        <f>IF($C80,$AA80*1000000-MEDIAN(-9999,$K80,9999)*100+(300-ROW()),"")</f>
      </c>
      <c r="AK80" s="201">
        <f>IF($C80,IF($J80="Completado",0,IF($K80&lt;0,1,IF($K80&lt;=3,0.9,IF($K80&lt;=7,0.7,IF($K80&lt;=14,0.45,0.2))))),"")</f>
      </c>
      <c r="AL80" s="201">
        <f>IF($C80,IF($J80="Completado",0,MEDIAN(0,MAX(-$V80,$W80/30),1)),"")</f>
      </c>
      <c r="AM80" s="201">
        <f>IF($C80,IF($J80="Completado",0,IF($Z80,1,IF(AND($I80&lt;0.5,$K80&lt;=7),0.7,0.3))),"")</f>
      </c>
      <c r="AN80" s="202">
        <f>IF($C80,IF(OR($V80&lt;-0.2,$W80&gt;0),"ATRASO ","")&amp;IF($Z80,"BLOQUEO ","")&amp;IF($Y80&gt;8,"SOBRECARGA ","")&amp;IF($X80&gt;0,"DESVÍO-PLAN ",""),"")</f>
      </c>
    </row>
    <row r="81">
      <c r="A81" s="201">
        <f>ROW()</f>
      </c>
      <c r="B81" s="201">
        <f>ISTEXT('Proyecto Datos (OKR´s)'!$K81)</f>
      </c>
      <c r="C81" s="201">
        <f>AND(LEN('Proyecto Datos (OKR´s)'!$G81)&gt;0,NOT($B81),OR(ISNUMBER('Proyecto Datos (OKR´s)'!$F81),ISNUMBER('Proyecto Datos (OKR´s)'!$L81)))</f>
      </c>
      <c r="D81" s="202">
        <f>IF($C81,IFERROR(LOOKUP(2,1/((ISTEXT('Proyecto Datos (OKR´s)'!$K$7:$K81))*(LEN('Proyecto Datos (OKR´s)'!$G$7:$G81)&gt;0)),'Proyecto Datos (OKR´s)'!$G$7:$G81),""),"")</f>
      </c>
      <c r="E81" s="201">
        <f>IF($C81,'Proyecto Datos (OKR´s)'!$E81,"")</f>
      </c>
      <c r="F81" s="202">
        <f>IF($C81,'Proyecto Datos (OKR´s)'!$G81,"")</f>
      </c>
      <c r="G81" s="202">
        <f>IF($C81,IF('Proyecto Datos (OKR´s)'!$I81="","(Sin asignar)",'Proyecto Datos (OKR´s)'!$I81),"")</f>
      </c>
      <c r="H81" s="201">
        <f>IF($C81,IF(ISNUMBER('Proyecto Datos (OKR´s)'!$F81),'Proyecto Datos (OKR´s)'!$F81,'Proyecto Datos (OKR´s)'!$L81),"")</f>
      </c>
      <c r="I81" s="201">
        <f>IF($C81,'Proyecto Datos (OKR´s)'!$J81,"")</f>
      </c>
      <c r="J81" s="202">
        <f>IF($C81,IF($I81&gt;=1,"Completado",IF($H81&lt;TODAY(),"Vencido",IF(($H81-TODAY())&lt;='Entregas Próximas'!$M$3,"Próximo a vencer","En curso"))),"")</f>
      </c>
      <c r="K81" s="201">
        <f>IF($C81,$H81-TODAY(),"")</f>
      </c>
      <c r="L81" s="201">
        <f>IF($C81,$AD81*1000000+$H81+ROW()/100000,"")</f>
      </c>
      <c r="M81" s="201">
        <f>IF($C81,IF($AD81=9999,"(Sin sprint)",$AD81),"")</f>
      </c>
      <c r="N81" s="201">
        <f>IF($C81,IF('Proyecto Datos (OKR´s)'!$E81="",9999,'Proyecto Datos (OKR´s)'!$E81),"")</f>
      </c>
      <c r="O81" s="201">
        <f>IF($C81,"T"&amp;TEXT(ROW(),"000"),"")</f>
      </c>
      <c r="R81" s="201">
        <f>IF($C81,IF(ISNUMBER('Proyecto Datos (OKR´s)'!$L81),'Proyecto Datos (OKR´s)'!$L81,$H81),"")</f>
      </c>
      <c r="S81" s="201">
        <f>IF($C81,$R81-'Proyecto Datos (OKR´s)'!$K81+1,"")</f>
      </c>
      <c r="T81" s="201">
        <f>IF($C81,MAX(0,TODAY()-'Proyecto Datos (OKR´s)'!$K81),"")</f>
      </c>
      <c r="U81" s="201">
        <f>IF($C81,MEDIAN(0,(TODAY()-'Proyecto Datos (OKR´s)'!$K81)/MAX(1,$R81-'Proyecto Datos (OKR´s)'!$K81),1),"")</f>
      </c>
      <c r="V81" s="201">
        <f>IF($C81,$I81-$U81,"")</f>
      </c>
      <c r="W81" s="201">
        <f>IF($C81,IF($J81="Completado",0,MAX(0,TODAY()-$H81)),"")</f>
      </c>
      <c r="X81" s="201">
        <f>IF($C81,IF(ISNUMBER($H81),$R81-$H81,0),"")</f>
      </c>
      <c r="Y81" s="201">
        <f>IF($C81,COUNTIFS($G$7:$G$200,$G81,$J$7:$J$200,"&lt;&gt;Completado",$J$7:$J$200,"&lt;&gt;"),"")</f>
      </c>
      <c r="Z81" s="201">
        <f>IF($C81,AND($I81=0,'Proyecto Datos (OKR´s)'!$K81&lt;=TODAY(),$J81&lt;&gt;"Completado"),"")</f>
      </c>
      <c r="AA81" s="201">
        <f>IF($C81,ROUND(100*(0.35*$AK81+0.3*$AL81+0.2*$AM81+0.15*MEDIAN(0,($Y81-4)/8,1)),0),"")</f>
      </c>
      <c r="AB81" s="202">
        <f>IF($C81,IF($J81="Completado","—",IF($AA81&gt;=70,"Crítica",IF($AA81&gt;=45,"Alta",IF($AA81&gt;=25,"Media","Baja")))),"")</f>
      </c>
      <c r="AC81" s="202">
        <f>IF($C81,IF(LEN(TRIM($AN81))=0,"—",TRIM($AN81)),"")</f>
      </c>
      <c r="AD81" s="201">
        <f>IF($C81,IF($N81=9999,9999,IF($J81="Completado",$N81,MAX($N81,'Historial de Sprints'!$C$7))),"")</f>
      </c>
      <c r="AE81" s="201">
        <f>IF($C81,IF($AD81=9999,"(Sin sprint)",$AD81),"")</f>
      </c>
      <c r="AF81" s="201">
        <f>IF($C81,AND($N81&lt;&gt;9999,$AD81&lt;&gt;$N81),FALSE)</f>
      </c>
      <c r="AG81" s="201">
        <f>IF($AF81,'Historial de Sprints'!$C$5+$N81*'Historial de Sprints'!$C$6-1,"")</f>
      </c>
      <c r="AH81" s="202">
        <f>IF($AF81,"No completada al cierre del Sprint "&amp;$N81&amp;" -&gt; reasignada al Sprint "&amp;$AD81,"")</f>
      </c>
      <c r="AI81" s="201">
        <f>IF($AF81,$N81*100000+ROW(),"")</f>
      </c>
      <c r="AJ81" s="201">
        <f>IF($C81,$AA81*1000000-MEDIAN(-9999,$K81,9999)*100+(300-ROW()),"")</f>
      </c>
      <c r="AK81" s="201">
        <f>IF($C81,IF($J81="Completado",0,IF($K81&lt;0,1,IF($K81&lt;=3,0.9,IF($K81&lt;=7,0.7,IF($K81&lt;=14,0.45,0.2))))),"")</f>
      </c>
      <c r="AL81" s="201">
        <f>IF($C81,IF($J81="Completado",0,MEDIAN(0,MAX(-$V81,$W81/30),1)),"")</f>
      </c>
      <c r="AM81" s="201">
        <f>IF($C81,IF($J81="Completado",0,IF($Z81,1,IF(AND($I81&lt;0.5,$K81&lt;=7),0.7,0.3))),"")</f>
      </c>
      <c r="AN81" s="202">
        <f>IF($C81,IF(OR($V81&lt;-0.2,$W81&gt;0),"ATRASO ","")&amp;IF($Z81,"BLOQUEO ","")&amp;IF($Y81&gt;8,"SOBRECARGA ","")&amp;IF($X81&gt;0,"DESVÍO-PLAN ",""),"")</f>
      </c>
    </row>
    <row r="82">
      <c r="A82" s="201">
        <f>ROW()</f>
      </c>
      <c r="B82" s="201">
        <f>ISTEXT('Proyecto Datos (OKR´s)'!$K82)</f>
      </c>
      <c r="C82" s="201">
        <f>AND(LEN('Proyecto Datos (OKR´s)'!$G82)&gt;0,NOT($B82),OR(ISNUMBER('Proyecto Datos (OKR´s)'!$F82),ISNUMBER('Proyecto Datos (OKR´s)'!$L82)))</f>
      </c>
      <c r="D82" s="202">
        <f>IF($C82,IFERROR(LOOKUP(2,1/((ISTEXT('Proyecto Datos (OKR´s)'!$K$7:$K82))*(LEN('Proyecto Datos (OKR´s)'!$G$7:$G82)&gt;0)),'Proyecto Datos (OKR´s)'!$G$7:$G82),""),"")</f>
      </c>
      <c r="E82" s="201">
        <f>IF($C82,'Proyecto Datos (OKR´s)'!$E82,"")</f>
      </c>
      <c r="F82" s="202">
        <f>IF($C82,'Proyecto Datos (OKR´s)'!$G82,"")</f>
      </c>
      <c r="G82" s="202">
        <f>IF($C82,IF('Proyecto Datos (OKR´s)'!$I82="","(Sin asignar)",'Proyecto Datos (OKR´s)'!$I82),"")</f>
      </c>
      <c r="H82" s="201">
        <f>IF($C82,IF(ISNUMBER('Proyecto Datos (OKR´s)'!$F82),'Proyecto Datos (OKR´s)'!$F82,'Proyecto Datos (OKR´s)'!$L82),"")</f>
      </c>
      <c r="I82" s="201">
        <f>IF($C82,'Proyecto Datos (OKR´s)'!$J82,"")</f>
      </c>
      <c r="J82" s="202">
        <f>IF($C82,IF($I82&gt;=1,"Completado",IF($H82&lt;TODAY(),"Vencido",IF(($H82-TODAY())&lt;='Entregas Próximas'!$M$3,"Próximo a vencer","En curso"))),"")</f>
      </c>
      <c r="K82" s="201">
        <f>IF($C82,$H82-TODAY(),"")</f>
      </c>
      <c r="L82" s="201">
        <f>IF($C82,$AD82*1000000+$H82+ROW()/100000,"")</f>
      </c>
      <c r="M82" s="201">
        <f>IF($C82,IF($AD82=9999,"(Sin sprint)",$AD82),"")</f>
      </c>
      <c r="N82" s="201">
        <f>IF($C82,IF('Proyecto Datos (OKR´s)'!$E82="",9999,'Proyecto Datos (OKR´s)'!$E82),"")</f>
      </c>
      <c r="O82" s="201">
        <f>IF($C82,"T"&amp;TEXT(ROW(),"000"),"")</f>
      </c>
      <c r="R82" s="201">
        <f>IF($C82,IF(ISNUMBER('Proyecto Datos (OKR´s)'!$L82),'Proyecto Datos (OKR´s)'!$L82,$H82),"")</f>
      </c>
      <c r="S82" s="201">
        <f>IF($C82,$R82-'Proyecto Datos (OKR´s)'!$K82+1,"")</f>
      </c>
      <c r="T82" s="201">
        <f>IF($C82,MAX(0,TODAY()-'Proyecto Datos (OKR´s)'!$K82),"")</f>
      </c>
      <c r="U82" s="201">
        <f>IF($C82,MEDIAN(0,(TODAY()-'Proyecto Datos (OKR´s)'!$K82)/MAX(1,$R82-'Proyecto Datos (OKR´s)'!$K82),1),"")</f>
      </c>
      <c r="V82" s="201">
        <f>IF($C82,$I82-$U82,"")</f>
      </c>
      <c r="W82" s="201">
        <f>IF($C82,IF($J82="Completado",0,MAX(0,TODAY()-$H82)),"")</f>
      </c>
      <c r="X82" s="201">
        <f>IF($C82,IF(ISNUMBER($H82),$R82-$H82,0),"")</f>
      </c>
      <c r="Y82" s="201">
        <f>IF($C82,COUNTIFS($G$7:$G$200,$G82,$J$7:$J$200,"&lt;&gt;Completado",$J$7:$J$200,"&lt;&gt;"),"")</f>
      </c>
      <c r="Z82" s="201">
        <f>IF($C82,AND($I82=0,'Proyecto Datos (OKR´s)'!$K82&lt;=TODAY(),$J82&lt;&gt;"Completado"),"")</f>
      </c>
      <c r="AA82" s="201">
        <f>IF($C82,ROUND(100*(0.35*$AK82+0.3*$AL82+0.2*$AM82+0.15*MEDIAN(0,($Y82-4)/8,1)),0),"")</f>
      </c>
      <c r="AB82" s="202">
        <f>IF($C82,IF($J82="Completado","—",IF($AA82&gt;=70,"Crítica",IF($AA82&gt;=45,"Alta",IF($AA82&gt;=25,"Media","Baja")))),"")</f>
      </c>
      <c r="AC82" s="202">
        <f>IF($C82,IF(LEN(TRIM($AN82))=0,"—",TRIM($AN82)),"")</f>
      </c>
      <c r="AD82" s="201">
        <f>IF($C82,IF($N82=9999,9999,IF($J82="Completado",$N82,MAX($N82,'Historial de Sprints'!$C$7))),"")</f>
      </c>
      <c r="AE82" s="201">
        <f>IF($C82,IF($AD82=9999,"(Sin sprint)",$AD82),"")</f>
      </c>
      <c r="AF82" s="201">
        <f>IF($C82,AND($N82&lt;&gt;9999,$AD82&lt;&gt;$N82),FALSE)</f>
      </c>
      <c r="AG82" s="201">
        <f>IF($AF82,'Historial de Sprints'!$C$5+$N82*'Historial de Sprints'!$C$6-1,"")</f>
      </c>
      <c r="AH82" s="202">
        <f>IF($AF82,"No completada al cierre del Sprint "&amp;$N82&amp;" -&gt; reasignada al Sprint "&amp;$AD82,"")</f>
      </c>
      <c r="AI82" s="201">
        <f>IF($AF82,$N82*100000+ROW(),"")</f>
      </c>
      <c r="AJ82" s="201">
        <f>IF($C82,$AA82*1000000-MEDIAN(-9999,$K82,9999)*100+(300-ROW()),"")</f>
      </c>
      <c r="AK82" s="201">
        <f>IF($C82,IF($J82="Completado",0,IF($K82&lt;0,1,IF($K82&lt;=3,0.9,IF($K82&lt;=7,0.7,IF($K82&lt;=14,0.45,0.2))))),"")</f>
      </c>
      <c r="AL82" s="201">
        <f>IF($C82,IF($J82="Completado",0,MEDIAN(0,MAX(-$V82,$W82/30),1)),"")</f>
      </c>
      <c r="AM82" s="201">
        <f>IF($C82,IF($J82="Completado",0,IF($Z82,1,IF(AND($I82&lt;0.5,$K82&lt;=7),0.7,0.3))),"")</f>
      </c>
      <c r="AN82" s="202">
        <f>IF($C82,IF(OR($V82&lt;-0.2,$W82&gt;0),"ATRASO ","")&amp;IF($Z82,"BLOQUEO ","")&amp;IF($Y82&gt;8,"SOBRECARGA ","")&amp;IF($X82&gt;0,"DESVÍO-PLAN ",""),"")</f>
      </c>
    </row>
    <row r="83">
      <c r="A83" s="201">
        <f>ROW()</f>
      </c>
      <c r="B83" s="201">
        <f>ISTEXT('Proyecto Datos (OKR´s)'!$K83)</f>
      </c>
      <c r="C83" s="201">
        <f>AND(LEN('Proyecto Datos (OKR´s)'!$G83)&gt;0,NOT($B83),OR(ISNUMBER('Proyecto Datos (OKR´s)'!$F83),ISNUMBER('Proyecto Datos (OKR´s)'!$L83)))</f>
      </c>
      <c r="D83" s="202">
        <f>IF($C83,IFERROR(LOOKUP(2,1/((ISTEXT('Proyecto Datos (OKR´s)'!$K$7:$K83))*(LEN('Proyecto Datos (OKR´s)'!$G$7:$G83)&gt;0)),'Proyecto Datos (OKR´s)'!$G$7:$G83),""),"")</f>
      </c>
      <c r="E83" s="201">
        <f>IF($C83,'Proyecto Datos (OKR´s)'!$E83,"")</f>
      </c>
      <c r="F83" s="202">
        <f>IF($C83,'Proyecto Datos (OKR´s)'!$G83,"")</f>
      </c>
      <c r="G83" s="202">
        <f>IF($C83,IF('Proyecto Datos (OKR´s)'!$I83="","(Sin asignar)",'Proyecto Datos (OKR´s)'!$I83),"")</f>
      </c>
      <c r="H83" s="201">
        <f>IF($C83,IF(ISNUMBER('Proyecto Datos (OKR´s)'!$F83),'Proyecto Datos (OKR´s)'!$F83,'Proyecto Datos (OKR´s)'!$L83),"")</f>
      </c>
      <c r="I83" s="201">
        <f>IF($C83,'Proyecto Datos (OKR´s)'!$J83,"")</f>
      </c>
      <c r="J83" s="202">
        <f>IF($C83,IF($I83&gt;=1,"Completado",IF($H83&lt;TODAY(),"Vencido",IF(($H83-TODAY())&lt;='Entregas Próximas'!$M$3,"Próximo a vencer","En curso"))),"")</f>
      </c>
      <c r="K83" s="201">
        <f>IF($C83,$H83-TODAY(),"")</f>
      </c>
      <c r="L83" s="201">
        <f>IF($C83,$AD83*1000000+$H83+ROW()/100000,"")</f>
      </c>
      <c r="M83" s="201">
        <f>IF($C83,IF($AD83=9999,"(Sin sprint)",$AD83),"")</f>
      </c>
      <c r="N83" s="201">
        <f>IF($C83,IF('Proyecto Datos (OKR´s)'!$E83="",9999,'Proyecto Datos (OKR´s)'!$E83),"")</f>
      </c>
      <c r="O83" s="201">
        <f>IF($C83,"T"&amp;TEXT(ROW(),"000"),"")</f>
      </c>
      <c r="R83" s="201">
        <f>IF($C83,IF(ISNUMBER('Proyecto Datos (OKR´s)'!$L83),'Proyecto Datos (OKR´s)'!$L83,$H83),"")</f>
      </c>
      <c r="S83" s="201">
        <f>IF($C83,$R83-'Proyecto Datos (OKR´s)'!$K83+1,"")</f>
      </c>
      <c r="T83" s="201">
        <f>IF($C83,MAX(0,TODAY()-'Proyecto Datos (OKR´s)'!$K83),"")</f>
      </c>
      <c r="U83" s="201">
        <f>IF($C83,MEDIAN(0,(TODAY()-'Proyecto Datos (OKR´s)'!$K83)/MAX(1,$R83-'Proyecto Datos (OKR´s)'!$K83),1),"")</f>
      </c>
      <c r="V83" s="201">
        <f>IF($C83,$I83-$U83,"")</f>
      </c>
      <c r="W83" s="201">
        <f>IF($C83,IF($J83="Completado",0,MAX(0,TODAY()-$H83)),"")</f>
      </c>
      <c r="X83" s="201">
        <f>IF($C83,IF(ISNUMBER($H83),$R83-$H83,0),"")</f>
      </c>
      <c r="Y83" s="201">
        <f>IF($C83,COUNTIFS($G$7:$G$200,$G83,$J$7:$J$200,"&lt;&gt;Completado",$J$7:$J$200,"&lt;&gt;"),"")</f>
      </c>
      <c r="Z83" s="201">
        <f>IF($C83,AND($I83=0,'Proyecto Datos (OKR´s)'!$K83&lt;=TODAY(),$J83&lt;&gt;"Completado"),"")</f>
      </c>
      <c r="AA83" s="201">
        <f>IF($C83,ROUND(100*(0.35*$AK83+0.3*$AL83+0.2*$AM83+0.15*MEDIAN(0,($Y83-4)/8,1)),0),"")</f>
      </c>
      <c r="AB83" s="202">
        <f>IF($C83,IF($J83="Completado","—",IF($AA83&gt;=70,"Crítica",IF($AA83&gt;=45,"Alta",IF($AA83&gt;=25,"Media","Baja")))),"")</f>
      </c>
      <c r="AC83" s="202">
        <f>IF($C83,IF(LEN(TRIM($AN83))=0,"—",TRIM($AN83)),"")</f>
      </c>
      <c r="AD83" s="201">
        <f>IF($C83,IF($N83=9999,9999,IF($J83="Completado",$N83,MAX($N83,'Historial de Sprints'!$C$7))),"")</f>
      </c>
      <c r="AE83" s="201">
        <f>IF($C83,IF($AD83=9999,"(Sin sprint)",$AD83),"")</f>
      </c>
      <c r="AF83" s="201">
        <f>IF($C83,AND($N83&lt;&gt;9999,$AD83&lt;&gt;$N83),FALSE)</f>
      </c>
      <c r="AG83" s="201">
        <f>IF($AF83,'Historial de Sprints'!$C$5+$N83*'Historial de Sprints'!$C$6-1,"")</f>
      </c>
      <c r="AH83" s="202">
        <f>IF($AF83,"No completada al cierre del Sprint "&amp;$N83&amp;" -&gt; reasignada al Sprint "&amp;$AD83,"")</f>
      </c>
      <c r="AI83" s="201">
        <f>IF($AF83,$N83*100000+ROW(),"")</f>
      </c>
      <c r="AJ83" s="201">
        <f>IF($C83,$AA83*1000000-MEDIAN(-9999,$K83,9999)*100+(300-ROW()),"")</f>
      </c>
      <c r="AK83" s="201">
        <f>IF($C83,IF($J83="Completado",0,IF($K83&lt;0,1,IF($K83&lt;=3,0.9,IF($K83&lt;=7,0.7,IF($K83&lt;=14,0.45,0.2))))),"")</f>
      </c>
      <c r="AL83" s="201">
        <f>IF($C83,IF($J83="Completado",0,MEDIAN(0,MAX(-$V83,$W83/30),1)),"")</f>
      </c>
      <c r="AM83" s="201">
        <f>IF($C83,IF($J83="Completado",0,IF($Z83,1,IF(AND($I83&lt;0.5,$K83&lt;=7),0.7,0.3))),"")</f>
      </c>
      <c r="AN83" s="202">
        <f>IF($C83,IF(OR($V83&lt;-0.2,$W83&gt;0),"ATRASO ","")&amp;IF($Z83,"BLOQUEO ","")&amp;IF($Y83&gt;8,"SOBRECARGA ","")&amp;IF($X83&gt;0,"DESVÍO-PLAN ",""),"")</f>
      </c>
    </row>
    <row r="84">
      <c r="A84" s="201">
        <f>ROW()</f>
      </c>
      <c r="B84" s="201">
        <f>ISTEXT('Proyecto Datos (OKR´s)'!$K84)</f>
      </c>
      <c r="C84" s="201">
        <f>AND(LEN('Proyecto Datos (OKR´s)'!$G84)&gt;0,NOT($B84),OR(ISNUMBER('Proyecto Datos (OKR´s)'!$F84),ISNUMBER('Proyecto Datos (OKR´s)'!$L84)))</f>
      </c>
      <c r="D84" s="202">
        <f>IF($C84,IFERROR(LOOKUP(2,1/((ISTEXT('Proyecto Datos (OKR´s)'!$K$7:$K84))*(LEN('Proyecto Datos (OKR´s)'!$G$7:$G84)&gt;0)),'Proyecto Datos (OKR´s)'!$G$7:$G84),""),"")</f>
      </c>
      <c r="E84" s="201">
        <f>IF($C84,'Proyecto Datos (OKR´s)'!$E84,"")</f>
      </c>
      <c r="F84" s="202">
        <f>IF($C84,'Proyecto Datos (OKR´s)'!$G84,"")</f>
      </c>
      <c r="G84" s="202">
        <f>IF($C84,IF('Proyecto Datos (OKR´s)'!$I84="","(Sin asignar)",'Proyecto Datos (OKR´s)'!$I84),"")</f>
      </c>
      <c r="H84" s="201">
        <f>IF($C84,IF(ISNUMBER('Proyecto Datos (OKR´s)'!$F84),'Proyecto Datos (OKR´s)'!$F84,'Proyecto Datos (OKR´s)'!$L84),"")</f>
      </c>
      <c r="I84" s="201">
        <f>IF($C84,'Proyecto Datos (OKR´s)'!$J84,"")</f>
      </c>
      <c r="J84" s="202">
        <f>IF($C84,IF($I84&gt;=1,"Completado",IF($H84&lt;TODAY(),"Vencido",IF(($H84-TODAY())&lt;='Entregas Próximas'!$M$3,"Próximo a vencer","En curso"))),"")</f>
      </c>
      <c r="K84" s="201">
        <f>IF($C84,$H84-TODAY(),"")</f>
      </c>
      <c r="L84" s="201">
        <f>IF($C84,$AD84*1000000+$H84+ROW()/100000,"")</f>
      </c>
      <c r="M84" s="201">
        <f>IF($C84,IF($AD84=9999,"(Sin sprint)",$AD84),"")</f>
      </c>
      <c r="N84" s="201">
        <f>IF($C84,IF('Proyecto Datos (OKR´s)'!$E84="",9999,'Proyecto Datos (OKR´s)'!$E84),"")</f>
      </c>
      <c r="O84" s="201">
        <f>IF($C84,"T"&amp;TEXT(ROW(),"000"),"")</f>
      </c>
      <c r="R84" s="201">
        <f>IF($C84,IF(ISNUMBER('Proyecto Datos (OKR´s)'!$L84),'Proyecto Datos (OKR´s)'!$L84,$H84),"")</f>
      </c>
      <c r="S84" s="201">
        <f>IF($C84,$R84-'Proyecto Datos (OKR´s)'!$K84+1,"")</f>
      </c>
      <c r="T84" s="201">
        <f>IF($C84,MAX(0,TODAY()-'Proyecto Datos (OKR´s)'!$K84),"")</f>
      </c>
      <c r="U84" s="201">
        <f>IF($C84,MEDIAN(0,(TODAY()-'Proyecto Datos (OKR´s)'!$K84)/MAX(1,$R84-'Proyecto Datos (OKR´s)'!$K84),1),"")</f>
      </c>
      <c r="V84" s="201">
        <f>IF($C84,$I84-$U84,"")</f>
      </c>
      <c r="W84" s="201">
        <f>IF($C84,IF($J84="Completado",0,MAX(0,TODAY()-$H84)),"")</f>
      </c>
      <c r="X84" s="201">
        <f>IF($C84,IF(ISNUMBER($H84),$R84-$H84,0),"")</f>
      </c>
      <c r="Y84" s="201">
        <f>IF($C84,COUNTIFS($G$7:$G$200,$G84,$J$7:$J$200,"&lt;&gt;Completado",$J$7:$J$200,"&lt;&gt;"),"")</f>
      </c>
      <c r="Z84" s="201">
        <f>IF($C84,AND($I84=0,'Proyecto Datos (OKR´s)'!$K84&lt;=TODAY(),$J84&lt;&gt;"Completado"),"")</f>
      </c>
      <c r="AA84" s="201">
        <f>IF($C84,ROUND(100*(0.35*$AK84+0.3*$AL84+0.2*$AM84+0.15*MEDIAN(0,($Y84-4)/8,1)),0),"")</f>
      </c>
      <c r="AB84" s="202">
        <f>IF($C84,IF($J84="Completado","—",IF($AA84&gt;=70,"Crítica",IF($AA84&gt;=45,"Alta",IF($AA84&gt;=25,"Media","Baja")))),"")</f>
      </c>
      <c r="AC84" s="202">
        <f>IF($C84,IF(LEN(TRIM($AN84))=0,"—",TRIM($AN84)),"")</f>
      </c>
      <c r="AD84" s="201">
        <f>IF($C84,IF($N84=9999,9999,IF($J84="Completado",$N84,MAX($N84,'Historial de Sprints'!$C$7))),"")</f>
      </c>
      <c r="AE84" s="201">
        <f>IF($C84,IF($AD84=9999,"(Sin sprint)",$AD84),"")</f>
      </c>
      <c r="AF84" s="201">
        <f>IF($C84,AND($N84&lt;&gt;9999,$AD84&lt;&gt;$N84),FALSE)</f>
      </c>
      <c r="AG84" s="201">
        <f>IF($AF84,'Historial de Sprints'!$C$5+$N84*'Historial de Sprints'!$C$6-1,"")</f>
      </c>
      <c r="AH84" s="202">
        <f>IF($AF84,"No completada al cierre del Sprint "&amp;$N84&amp;" -&gt; reasignada al Sprint "&amp;$AD84,"")</f>
      </c>
      <c r="AI84" s="201">
        <f>IF($AF84,$N84*100000+ROW(),"")</f>
      </c>
      <c r="AJ84" s="201">
        <f>IF($C84,$AA84*1000000-MEDIAN(-9999,$K84,9999)*100+(300-ROW()),"")</f>
      </c>
      <c r="AK84" s="201">
        <f>IF($C84,IF($J84="Completado",0,IF($K84&lt;0,1,IF($K84&lt;=3,0.9,IF($K84&lt;=7,0.7,IF($K84&lt;=14,0.45,0.2))))),"")</f>
      </c>
      <c r="AL84" s="201">
        <f>IF($C84,IF($J84="Completado",0,MEDIAN(0,MAX(-$V84,$W84/30),1)),"")</f>
      </c>
      <c r="AM84" s="201">
        <f>IF($C84,IF($J84="Completado",0,IF($Z84,1,IF(AND($I84&lt;0.5,$K84&lt;=7),0.7,0.3))),"")</f>
      </c>
      <c r="AN84" s="202">
        <f>IF($C84,IF(OR($V84&lt;-0.2,$W84&gt;0),"ATRASO ","")&amp;IF($Z84,"BLOQUEO ","")&amp;IF($Y84&gt;8,"SOBRECARGA ","")&amp;IF($X84&gt;0,"DESVÍO-PLAN ",""),"")</f>
      </c>
    </row>
    <row r="85">
      <c r="A85" s="201">
        <f>ROW()</f>
      </c>
      <c r="B85" s="201">
        <f>ISTEXT('Proyecto Datos (OKR´s)'!$K85)</f>
      </c>
      <c r="C85" s="201">
        <f>AND(LEN('Proyecto Datos (OKR´s)'!$G85)&gt;0,NOT($B85),OR(ISNUMBER('Proyecto Datos (OKR´s)'!$F85),ISNUMBER('Proyecto Datos (OKR´s)'!$L85)))</f>
      </c>
      <c r="D85" s="202">
        <f>IF($C85,IFERROR(LOOKUP(2,1/((ISTEXT('Proyecto Datos (OKR´s)'!$K$7:$K85))*(LEN('Proyecto Datos (OKR´s)'!$G$7:$G85)&gt;0)),'Proyecto Datos (OKR´s)'!$G$7:$G85),""),"")</f>
      </c>
      <c r="E85" s="201">
        <f>IF($C85,'Proyecto Datos (OKR´s)'!$E85,"")</f>
      </c>
      <c r="F85" s="202">
        <f>IF($C85,'Proyecto Datos (OKR´s)'!$G85,"")</f>
      </c>
      <c r="G85" s="202">
        <f>IF($C85,IF('Proyecto Datos (OKR´s)'!$I85="","(Sin asignar)",'Proyecto Datos (OKR´s)'!$I85),"")</f>
      </c>
      <c r="H85" s="201">
        <f>IF($C85,IF(ISNUMBER('Proyecto Datos (OKR´s)'!$F85),'Proyecto Datos (OKR´s)'!$F85,'Proyecto Datos (OKR´s)'!$L85),"")</f>
      </c>
      <c r="I85" s="201">
        <f>IF($C85,'Proyecto Datos (OKR´s)'!$J85,"")</f>
      </c>
      <c r="J85" s="202">
        <f>IF($C85,IF($I85&gt;=1,"Completado",IF($H85&lt;TODAY(),"Vencido",IF(($H85-TODAY())&lt;='Entregas Próximas'!$M$3,"Próximo a vencer","En curso"))),"")</f>
      </c>
      <c r="K85" s="201">
        <f>IF($C85,$H85-TODAY(),"")</f>
      </c>
      <c r="L85" s="201">
        <f>IF($C85,$AD85*1000000+$H85+ROW()/100000,"")</f>
      </c>
      <c r="M85" s="201">
        <f>IF($C85,IF($AD85=9999,"(Sin sprint)",$AD85),"")</f>
      </c>
      <c r="N85" s="201">
        <f>IF($C85,IF('Proyecto Datos (OKR´s)'!$E85="",9999,'Proyecto Datos (OKR´s)'!$E85),"")</f>
      </c>
      <c r="O85" s="201">
        <f>IF($C85,"T"&amp;TEXT(ROW(),"000"),"")</f>
      </c>
      <c r="R85" s="201">
        <f>IF($C85,IF(ISNUMBER('Proyecto Datos (OKR´s)'!$L85),'Proyecto Datos (OKR´s)'!$L85,$H85),"")</f>
      </c>
      <c r="S85" s="201">
        <f>IF($C85,$R85-'Proyecto Datos (OKR´s)'!$K85+1,"")</f>
      </c>
      <c r="T85" s="201">
        <f>IF($C85,MAX(0,TODAY()-'Proyecto Datos (OKR´s)'!$K85),"")</f>
      </c>
      <c r="U85" s="201">
        <f>IF($C85,MEDIAN(0,(TODAY()-'Proyecto Datos (OKR´s)'!$K85)/MAX(1,$R85-'Proyecto Datos (OKR´s)'!$K85),1),"")</f>
      </c>
      <c r="V85" s="201">
        <f>IF($C85,$I85-$U85,"")</f>
      </c>
      <c r="W85" s="201">
        <f>IF($C85,IF($J85="Completado",0,MAX(0,TODAY()-$H85)),"")</f>
      </c>
      <c r="X85" s="201">
        <f>IF($C85,IF(ISNUMBER($H85),$R85-$H85,0),"")</f>
      </c>
      <c r="Y85" s="201">
        <f>IF($C85,COUNTIFS($G$7:$G$200,$G85,$J$7:$J$200,"&lt;&gt;Completado",$J$7:$J$200,"&lt;&gt;"),"")</f>
      </c>
      <c r="Z85" s="201">
        <f>IF($C85,AND($I85=0,'Proyecto Datos (OKR´s)'!$K85&lt;=TODAY(),$J85&lt;&gt;"Completado"),"")</f>
      </c>
      <c r="AA85" s="201">
        <f>IF($C85,ROUND(100*(0.35*$AK85+0.3*$AL85+0.2*$AM85+0.15*MEDIAN(0,($Y85-4)/8,1)),0),"")</f>
      </c>
      <c r="AB85" s="202">
        <f>IF($C85,IF($J85="Completado","—",IF($AA85&gt;=70,"Crítica",IF($AA85&gt;=45,"Alta",IF($AA85&gt;=25,"Media","Baja")))),"")</f>
      </c>
      <c r="AC85" s="202">
        <f>IF($C85,IF(LEN(TRIM($AN85))=0,"—",TRIM($AN85)),"")</f>
      </c>
      <c r="AD85" s="201">
        <f>IF($C85,IF($N85=9999,9999,IF($J85="Completado",$N85,MAX($N85,'Historial de Sprints'!$C$7))),"")</f>
      </c>
      <c r="AE85" s="201">
        <f>IF($C85,IF($AD85=9999,"(Sin sprint)",$AD85),"")</f>
      </c>
      <c r="AF85" s="201">
        <f>IF($C85,AND($N85&lt;&gt;9999,$AD85&lt;&gt;$N85),FALSE)</f>
      </c>
      <c r="AG85" s="201">
        <f>IF($AF85,'Historial de Sprints'!$C$5+$N85*'Historial de Sprints'!$C$6-1,"")</f>
      </c>
      <c r="AH85" s="202">
        <f>IF($AF85,"No completada al cierre del Sprint "&amp;$N85&amp;" -&gt; reasignada al Sprint "&amp;$AD85,"")</f>
      </c>
      <c r="AI85" s="201">
        <f>IF($AF85,$N85*100000+ROW(),"")</f>
      </c>
      <c r="AJ85" s="201">
        <f>IF($C85,$AA85*1000000-MEDIAN(-9999,$K85,9999)*100+(300-ROW()),"")</f>
      </c>
      <c r="AK85" s="201">
        <f>IF($C85,IF($J85="Completado",0,IF($K85&lt;0,1,IF($K85&lt;=3,0.9,IF($K85&lt;=7,0.7,IF($K85&lt;=14,0.45,0.2))))),"")</f>
      </c>
      <c r="AL85" s="201">
        <f>IF($C85,IF($J85="Completado",0,MEDIAN(0,MAX(-$V85,$W85/30),1)),"")</f>
      </c>
      <c r="AM85" s="201">
        <f>IF($C85,IF($J85="Completado",0,IF($Z85,1,IF(AND($I85&lt;0.5,$K85&lt;=7),0.7,0.3))),"")</f>
      </c>
      <c r="AN85" s="202">
        <f>IF($C85,IF(OR($V85&lt;-0.2,$W85&gt;0),"ATRASO ","")&amp;IF($Z85,"BLOQUEO ","")&amp;IF($Y85&gt;8,"SOBRECARGA ","")&amp;IF($X85&gt;0,"DESVÍO-PLAN ",""),"")</f>
      </c>
    </row>
    <row r="86">
      <c r="A86" s="201">
        <f>ROW()</f>
      </c>
      <c r="B86" s="201">
        <f>ISTEXT('Proyecto Datos (OKR´s)'!$K86)</f>
      </c>
      <c r="C86" s="201">
        <f>AND(LEN('Proyecto Datos (OKR´s)'!$G86)&gt;0,NOT($B86),OR(ISNUMBER('Proyecto Datos (OKR´s)'!$F86),ISNUMBER('Proyecto Datos (OKR´s)'!$L86)))</f>
      </c>
      <c r="D86" s="202">
        <f>IF($C86,IFERROR(LOOKUP(2,1/((ISTEXT('Proyecto Datos (OKR´s)'!$K$7:$K86))*(LEN('Proyecto Datos (OKR´s)'!$G$7:$G86)&gt;0)),'Proyecto Datos (OKR´s)'!$G$7:$G86),""),"")</f>
      </c>
      <c r="E86" s="201">
        <f>IF($C86,'Proyecto Datos (OKR´s)'!$E86,"")</f>
      </c>
      <c r="F86" s="202">
        <f>IF($C86,'Proyecto Datos (OKR´s)'!$G86,"")</f>
      </c>
      <c r="G86" s="202">
        <f>IF($C86,IF('Proyecto Datos (OKR´s)'!$I86="","(Sin asignar)",'Proyecto Datos (OKR´s)'!$I86),"")</f>
      </c>
      <c r="H86" s="201">
        <f>IF($C86,IF(ISNUMBER('Proyecto Datos (OKR´s)'!$F86),'Proyecto Datos (OKR´s)'!$F86,'Proyecto Datos (OKR´s)'!$L86),"")</f>
      </c>
      <c r="I86" s="201">
        <f>IF($C86,'Proyecto Datos (OKR´s)'!$J86,"")</f>
      </c>
      <c r="J86" s="202">
        <f>IF($C86,IF($I86&gt;=1,"Completado",IF($H86&lt;TODAY(),"Vencido",IF(($H86-TODAY())&lt;='Entregas Próximas'!$M$3,"Próximo a vencer","En curso"))),"")</f>
      </c>
      <c r="K86" s="201">
        <f>IF($C86,$H86-TODAY(),"")</f>
      </c>
      <c r="L86" s="201">
        <f>IF($C86,$AD86*1000000+$H86+ROW()/100000,"")</f>
      </c>
      <c r="M86" s="201">
        <f>IF($C86,IF($AD86=9999,"(Sin sprint)",$AD86),"")</f>
      </c>
      <c r="N86" s="201">
        <f>IF($C86,IF('Proyecto Datos (OKR´s)'!$E86="",9999,'Proyecto Datos (OKR´s)'!$E86),"")</f>
      </c>
      <c r="O86" s="201">
        <f>IF($C86,"T"&amp;TEXT(ROW(),"000"),"")</f>
      </c>
      <c r="R86" s="201">
        <f>IF($C86,IF(ISNUMBER('Proyecto Datos (OKR´s)'!$L86),'Proyecto Datos (OKR´s)'!$L86,$H86),"")</f>
      </c>
      <c r="S86" s="201">
        <f>IF($C86,$R86-'Proyecto Datos (OKR´s)'!$K86+1,"")</f>
      </c>
      <c r="T86" s="201">
        <f>IF($C86,MAX(0,TODAY()-'Proyecto Datos (OKR´s)'!$K86),"")</f>
      </c>
      <c r="U86" s="201">
        <f>IF($C86,MEDIAN(0,(TODAY()-'Proyecto Datos (OKR´s)'!$K86)/MAX(1,$R86-'Proyecto Datos (OKR´s)'!$K86),1),"")</f>
      </c>
      <c r="V86" s="201">
        <f>IF($C86,$I86-$U86,"")</f>
      </c>
      <c r="W86" s="201">
        <f>IF($C86,IF($J86="Completado",0,MAX(0,TODAY()-$H86)),"")</f>
      </c>
      <c r="X86" s="201">
        <f>IF($C86,IF(ISNUMBER($H86),$R86-$H86,0),"")</f>
      </c>
      <c r="Y86" s="201">
        <f>IF($C86,COUNTIFS($G$7:$G$200,$G86,$J$7:$J$200,"&lt;&gt;Completado",$J$7:$J$200,"&lt;&gt;"),"")</f>
      </c>
      <c r="Z86" s="201">
        <f>IF($C86,AND($I86=0,'Proyecto Datos (OKR´s)'!$K86&lt;=TODAY(),$J86&lt;&gt;"Completado"),"")</f>
      </c>
      <c r="AA86" s="201">
        <f>IF($C86,ROUND(100*(0.35*$AK86+0.3*$AL86+0.2*$AM86+0.15*MEDIAN(0,($Y86-4)/8,1)),0),"")</f>
      </c>
      <c r="AB86" s="202">
        <f>IF($C86,IF($J86="Completado","—",IF($AA86&gt;=70,"Crítica",IF($AA86&gt;=45,"Alta",IF($AA86&gt;=25,"Media","Baja")))),"")</f>
      </c>
      <c r="AC86" s="202">
        <f>IF($C86,IF(LEN(TRIM($AN86))=0,"—",TRIM($AN86)),"")</f>
      </c>
      <c r="AD86" s="201">
        <f>IF($C86,IF($N86=9999,9999,IF($J86="Completado",$N86,MAX($N86,'Historial de Sprints'!$C$7))),"")</f>
      </c>
      <c r="AE86" s="201">
        <f>IF($C86,IF($AD86=9999,"(Sin sprint)",$AD86),"")</f>
      </c>
      <c r="AF86" s="201">
        <f>IF($C86,AND($N86&lt;&gt;9999,$AD86&lt;&gt;$N86),FALSE)</f>
      </c>
      <c r="AG86" s="201">
        <f>IF($AF86,'Historial de Sprints'!$C$5+$N86*'Historial de Sprints'!$C$6-1,"")</f>
      </c>
      <c r="AH86" s="202">
        <f>IF($AF86,"No completada al cierre del Sprint "&amp;$N86&amp;" -&gt; reasignada al Sprint "&amp;$AD86,"")</f>
      </c>
      <c r="AI86" s="201">
        <f>IF($AF86,$N86*100000+ROW(),"")</f>
      </c>
      <c r="AJ86" s="201">
        <f>IF($C86,$AA86*1000000-MEDIAN(-9999,$K86,9999)*100+(300-ROW()),"")</f>
      </c>
      <c r="AK86" s="201">
        <f>IF($C86,IF($J86="Completado",0,IF($K86&lt;0,1,IF($K86&lt;=3,0.9,IF($K86&lt;=7,0.7,IF($K86&lt;=14,0.45,0.2))))),"")</f>
      </c>
      <c r="AL86" s="201">
        <f>IF($C86,IF($J86="Completado",0,MEDIAN(0,MAX(-$V86,$W86/30),1)),"")</f>
      </c>
      <c r="AM86" s="201">
        <f>IF($C86,IF($J86="Completado",0,IF($Z86,1,IF(AND($I86&lt;0.5,$K86&lt;=7),0.7,0.3))),"")</f>
      </c>
      <c r="AN86" s="202">
        <f>IF($C86,IF(OR($V86&lt;-0.2,$W86&gt;0),"ATRASO ","")&amp;IF($Z86,"BLOQUEO ","")&amp;IF($Y86&gt;8,"SOBRECARGA ","")&amp;IF($X86&gt;0,"DESVÍO-PLAN ",""),"")</f>
      </c>
    </row>
    <row r="87">
      <c r="A87" s="201">
        <f>ROW()</f>
      </c>
      <c r="B87" s="201">
        <f>ISTEXT('Proyecto Datos (OKR´s)'!$K87)</f>
      </c>
      <c r="C87" s="201">
        <f>AND(LEN('Proyecto Datos (OKR´s)'!$G87)&gt;0,NOT($B87),OR(ISNUMBER('Proyecto Datos (OKR´s)'!$F87),ISNUMBER('Proyecto Datos (OKR´s)'!$L87)))</f>
      </c>
      <c r="D87" s="202">
        <f>IF($C87,IFERROR(LOOKUP(2,1/((ISTEXT('Proyecto Datos (OKR´s)'!$K$7:$K87))*(LEN('Proyecto Datos (OKR´s)'!$G$7:$G87)&gt;0)),'Proyecto Datos (OKR´s)'!$G$7:$G87),""),"")</f>
      </c>
      <c r="E87" s="201">
        <f>IF($C87,'Proyecto Datos (OKR´s)'!$E87,"")</f>
      </c>
      <c r="F87" s="202">
        <f>IF($C87,'Proyecto Datos (OKR´s)'!$G87,"")</f>
      </c>
      <c r="G87" s="202">
        <f>IF($C87,IF('Proyecto Datos (OKR´s)'!$I87="","(Sin asignar)",'Proyecto Datos (OKR´s)'!$I87),"")</f>
      </c>
      <c r="H87" s="201">
        <f>IF($C87,IF(ISNUMBER('Proyecto Datos (OKR´s)'!$F87),'Proyecto Datos (OKR´s)'!$F87,'Proyecto Datos (OKR´s)'!$L87),"")</f>
      </c>
      <c r="I87" s="201">
        <f>IF($C87,'Proyecto Datos (OKR´s)'!$J87,"")</f>
      </c>
      <c r="J87" s="202">
        <f>IF($C87,IF($I87&gt;=1,"Completado",IF($H87&lt;TODAY(),"Vencido",IF(($H87-TODAY())&lt;='Entregas Próximas'!$M$3,"Próximo a vencer","En curso"))),"")</f>
      </c>
      <c r="K87" s="201">
        <f>IF($C87,$H87-TODAY(),"")</f>
      </c>
      <c r="L87" s="201">
        <f>IF($C87,$AD87*1000000+$H87+ROW()/100000,"")</f>
      </c>
      <c r="M87" s="201">
        <f>IF($C87,IF($AD87=9999,"(Sin sprint)",$AD87),"")</f>
      </c>
      <c r="N87" s="201">
        <f>IF($C87,IF('Proyecto Datos (OKR´s)'!$E87="",9999,'Proyecto Datos (OKR´s)'!$E87),"")</f>
      </c>
      <c r="O87" s="201">
        <f>IF($C87,"T"&amp;TEXT(ROW(),"000"),"")</f>
      </c>
      <c r="R87" s="201">
        <f>IF($C87,IF(ISNUMBER('Proyecto Datos (OKR´s)'!$L87),'Proyecto Datos (OKR´s)'!$L87,$H87),"")</f>
      </c>
      <c r="S87" s="201">
        <f>IF($C87,$R87-'Proyecto Datos (OKR´s)'!$K87+1,"")</f>
      </c>
      <c r="T87" s="201">
        <f>IF($C87,MAX(0,TODAY()-'Proyecto Datos (OKR´s)'!$K87),"")</f>
      </c>
      <c r="U87" s="201">
        <f>IF($C87,MEDIAN(0,(TODAY()-'Proyecto Datos (OKR´s)'!$K87)/MAX(1,$R87-'Proyecto Datos (OKR´s)'!$K87),1),"")</f>
      </c>
      <c r="V87" s="201">
        <f>IF($C87,$I87-$U87,"")</f>
      </c>
      <c r="W87" s="201">
        <f>IF($C87,IF($J87="Completado",0,MAX(0,TODAY()-$H87)),"")</f>
      </c>
      <c r="X87" s="201">
        <f>IF($C87,IF(ISNUMBER($H87),$R87-$H87,0),"")</f>
      </c>
      <c r="Y87" s="201">
        <f>IF($C87,COUNTIFS($G$7:$G$200,$G87,$J$7:$J$200,"&lt;&gt;Completado",$J$7:$J$200,"&lt;&gt;"),"")</f>
      </c>
      <c r="Z87" s="201">
        <f>IF($C87,AND($I87=0,'Proyecto Datos (OKR´s)'!$K87&lt;=TODAY(),$J87&lt;&gt;"Completado"),"")</f>
      </c>
      <c r="AA87" s="201">
        <f>IF($C87,ROUND(100*(0.35*$AK87+0.3*$AL87+0.2*$AM87+0.15*MEDIAN(0,($Y87-4)/8,1)),0),"")</f>
      </c>
      <c r="AB87" s="202">
        <f>IF($C87,IF($J87="Completado","—",IF($AA87&gt;=70,"Crítica",IF($AA87&gt;=45,"Alta",IF($AA87&gt;=25,"Media","Baja")))),"")</f>
      </c>
      <c r="AC87" s="202">
        <f>IF($C87,IF(LEN(TRIM($AN87))=0,"—",TRIM($AN87)),"")</f>
      </c>
      <c r="AD87" s="201">
        <f>IF($C87,IF($N87=9999,9999,IF($J87="Completado",$N87,MAX($N87,'Historial de Sprints'!$C$7))),"")</f>
      </c>
      <c r="AE87" s="201">
        <f>IF($C87,IF($AD87=9999,"(Sin sprint)",$AD87),"")</f>
      </c>
      <c r="AF87" s="201">
        <f>IF($C87,AND($N87&lt;&gt;9999,$AD87&lt;&gt;$N87),FALSE)</f>
      </c>
      <c r="AG87" s="201">
        <f>IF($AF87,'Historial de Sprints'!$C$5+$N87*'Historial de Sprints'!$C$6-1,"")</f>
      </c>
      <c r="AH87" s="202">
        <f>IF($AF87,"No completada al cierre del Sprint "&amp;$N87&amp;" -&gt; reasignada al Sprint "&amp;$AD87,"")</f>
      </c>
      <c r="AI87" s="201">
        <f>IF($AF87,$N87*100000+ROW(),"")</f>
      </c>
      <c r="AJ87" s="201">
        <f>IF($C87,$AA87*1000000-MEDIAN(-9999,$K87,9999)*100+(300-ROW()),"")</f>
      </c>
      <c r="AK87" s="201">
        <f>IF($C87,IF($J87="Completado",0,IF($K87&lt;0,1,IF($K87&lt;=3,0.9,IF($K87&lt;=7,0.7,IF($K87&lt;=14,0.45,0.2))))),"")</f>
      </c>
      <c r="AL87" s="201">
        <f>IF($C87,IF($J87="Completado",0,MEDIAN(0,MAX(-$V87,$W87/30),1)),"")</f>
      </c>
      <c r="AM87" s="201">
        <f>IF($C87,IF($J87="Completado",0,IF($Z87,1,IF(AND($I87&lt;0.5,$K87&lt;=7),0.7,0.3))),"")</f>
      </c>
      <c r="AN87" s="202">
        <f>IF($C87,IF(OR($V87&lt;-0.2,$W87&gt;0),"ATRASO ","")&amp;IF($Z87,"BLOQUEO ","")&amp;IF($Y87&gt;8,"SOBRECARGA ","")&amp;IF($X87&gt;0,"DESVÍO-PLAN ",""),"")</f>
      </c>
    </row>
    <row r="88">
      <c r="A88" s="201">
        <f>ROW()</f>
      </c>
      <c r="B88" s="201">
        <f>ISTEXT('Proyecto Datos (OKR´s)'!$K88)</f>
      </c>
      <c r="C88" s="201">
        <f>AND(LEN('Proyecto Datos (OKR´s)'!$G88)&gt;0,NOT($B88),OR(ISNUMBER('Proyecto Datos (OKR´s)'!$F88),ISNUMBER('Proyecto Datos (OKR´s)'!$L88)))</f>
      </c>
      <c r="D88" s="202">
        <f>IF($C88,IFERROR(LOOKUP(2,1/((ISTEXT('Proyecto Datos (OKR´s)'!$K$7:$K88))*(LEN('Proyecto Datos (OKR´s)'!$G$7:$G88)&gt;0)),'Proyecto Datos (OKR´s)'!$G$7:$G88),""),"")</f>
      </c>
      <c r="E88" s="201">
        <f>IF($C88,'Proyecto Datos (OKR´s)'!$E88,"")</f>
      </c>
      <c r="F88" s="202">
        <f>IF($C88,'Proyecto Datos (OKR´s)'!$G88,"")</f>
      </c>
      <c r="G88" s="202">
        <f>IF($C88,IF('Proyecto Datos (OKR´s)'!$I88="","(Sin asignar)",'Proyecto Datos (OKR´s)'!$I88),"")</f>
      </c>
      <c r="H88" s="201">
        <f>IF($C88,IF(ISNUMBER('Proyecto Datos (OKR´s)'!$F88),'Proyecto Datos (OKR´s)'!$F88,'Proyecto Datos (OKR´s)'!$L88),"")</f>
      </c>
      <c r="I88" s="201">
        <f>IF($C88,'Proyecto Datos (OKR´s)'!$J88,"")</f>
      </c>
      <c r="J88" s="202">
        <f>IF($C88,IF($I88&gt;=1,"Completado",IF($H88&lt;TODAY(),"Vencido",IF(($H88-TODAY())&lt;='Entregas Próximas'!$M$3,"Próximo a vencer","En curso"))),"")</f>
      </c>
      <c r="K88" s="201">
        <f>IF($C88,$H88-TODAY(),"")</f>
      </c>
      <c r="L88" s="201">
        <f>IF($C88,$AD88*1000000+$H88+ROW()/100000,"")</f>
      </c>
      <c r="M88" s="201">
        <f>IF($C88,IF($AD88=9999,"(Sin sprint)",$AD88),"")</f>
      </c>
      <c r="N88" s="201">
        <f>IF($C88,IF('Proyecto Datos (OKR´s)'!$E88="",9999,'Proyecto Datos (OKR´s)'!$E88),"")</f>
      </c>
      <c r="O88" s="201">
        <f>IF($C88,"T"&amp;TEXT(ROW(),"000"),"")</f>
      </c>
      <c r="R88" s="201">
        <f>IF($C88,IF(ISNUMBER('Proyecto Datos (OKR´s)'!$L88),'Proyecto Datos (OKR´s)'!$L88,$H88),"")</f>
      </c>
      <c r="S88" s="201">
        <f>IF($C88,$R88-'Proyecto Datos (OKR´s)'!$K88+1,"")</f>
      </c>
      <c r="T88" s="201">
        <f>IF($C88,MAX(0,TODAY()-'Proyecto Datos (OKR´s)'!$K88),"")</f>
      </c>
      <c r="U88" s="201">
        <f>IF($C88,MEDIAN(0,(TODAY()-'Proyecto Datos (OKR´s)'!$K88)/MAX(1,$R88-'Proyecto Datos (OKR´s)'!$K88),1),"")</f>
      </c>
      <c r="V88" s="201">
        <f>IF($C88,$I88-$U88,"")</f>
      </c>
      <c r="W88" s="201">
        <f>IF($C88,IF($J88="Completado",0,MAX(0,TODAY()-$H88)),"")</f>
      </c>
      <c r="X88" s="201">
        <f>IF($C88,IF(ISNUMBER($H88),$R88-$H88,0),"")</f>
      </c>
      <c r="Y88" s="201">
        <f>IF($C88,COUNTIFS($G$7:$G$200,$G88,$J$7:$J$200,"&lt;&gt;Completado",$J$7:$J$200,"&lt;&gt;"),"")</f>
      </c>
      <c r="Z88" s="201">
        <f>IF($C88,AND($I88=0,'Proyecto Datos (OKR´s)'!$K88&lt;=TODAY(),$J88&lt;&gt;"Completado"),"")</f>
      </c>
      <c r="AA88" s="201">
        <f>IF($C88,ROUND(100*(0.35*$AK88+0.3*$AL88+0.2*$AM88+0.15*MEDIAN(0,($Y88-4)/8,1)),0),"")</f>
      </c>
      <c r="AB88" s="202">
        <f>IF($C88,IF($J88="Completado","—",IF($AA88&gt;=70,"Crítica",IF($AA88&gt;=45,"Alta",IF($AA88&gt;=25,"Media","Baja")))),"")</f>
      </c>
      <c r="AC88" s="202">
        <f>IF($C88,IF(LEN(TRIM($AN88))=0,"—",TRIM($AN88)),"")</f>
      </c>
      <c r="AD88" s="201">
        <f>IF($C88,IF($N88=9999,9999,IF($J88="Completado",$N88,MAX($N88,'Historial de Sprints'!$C$7))),"")</f>
      </c>
      <c r="AE88" s="201">
        <f>IF($C88,IF($AD88=9999,"(Sin sprint)",$AD88),"")</f>
      </c>
      <c r="AF88" s="201">
        <f>IF($C88,AND($N88&lt;&gt;9999,$AD88&lt;&gt;$N88),FALSE)</f>
      </c>
      <c r="AG88" s="201">
        <f>IF($AF88,'Historial de Sprints'!$C$5+$N88*'Historial de Sprints'!$C$6-1,"")</f>
      </c>
      <c r="AH88" s="202">
        <f>IF($AF88,"No completada al cierre del Sprint "&amp;$N88&amp;" -&gt; reasignada al Sprint "&amp;$AD88,"")</f>
      </c>
      <c r="AI88" s="201">
        <f>IF($AF88,$N88*100000+ROW(),"")</f>
      </c>
      <c r="AJ88" s="201">
        <f>IF($C88,$AA88*1000000-MEDIAN(-9999,$K88,9999)*100+(300-ROW()),"")</f>
      </c>
      <c r="AK88" s="201">
        <f>IF($C88,IF($J88="Completado",0,IF($K88&lt;0,1,IF($K88&lt;=3,0.9,IF($K88&lt;=7,0.7,IF($K88&lt;=14,0.45,0.2))))),"")</f>
      </c>
      <c r="AL88" s="201">
        <f>IF($C88,IF($J88="Completado",0,MEDIAN(0,MAX(-$V88,$W88/30),1)),"")</f>
      </c>
      <c r="AM88" s="201">
        <f>IF($C88,IF($J88="Completado",0,IF($Z88,1,IF(AND($I88&lt;0.5,$K88&lt;=7),0.7,0.3))),"")</f>
      </c>
      <c r="AN88" s="202">
        <f>IF($C88,IF(OR($V88&lt;-0.2,$W88&gt;0),"ATRASO ","")&amp;IF($Z88,"BLOQUEO ","")&amp;IF($Y88&gt;8,"SOBRECARGA ","")&amp;IF($X88&gt;0,"DESVÍO-PLAN ",""),"")</f>
      </c>
    </row>
    <row r="89">
      <c r="A89" s="201">
        <f>ROW()</f>
      </c>
      <c r="B89" s="201">
        <f>ISTEXT('Proyecto Datos (OKR´s)'!$K89)</f>
      </c>
      <c r="C89" s="201">
        <f>AND(LEN('Proyecto Datos (OKR´s)'!$G89)&gt;0,NOT($B89),OR(ISNUMBER('Proyecto Datos (OKR´s)'!$F89),ISNUMBER('Proyecto Datos (OKR´s)'!$L89)))</f>
      </c>
      <c r="D89" s="202">
        <f>IF($C89,IFERROR(LOOKUP(2,1/((ISTEXT('Proyecto Datos (OKR´s)'!$K$7:$K89))*(LEN('Proyecto Datos (OKR´s)'!$G$7:$G89)&gt;0)),'Proyecto Datos (OKR´s)'!$G$7:$G89),""),"")</f>
      </c>
      <c r="E89" s="201">
        <f>IF($C89,'Proyecto Datos (OKR´s)'!$E89,"")</f>
      </c>
      <c r="F89" s="202">
        <f>IF($C89,'Proyecto Datos (OKR´s)'!$G89,"")</f>
      </c>
      <c r="G89" s="202">
        <f>IF($C89,IF('Proyecto Datos (OKR´s)'!$I89="","(Sin asignar)",'Proyecto Datos (OKR´s)'!$I89),"")</f>
      </c>
      <c r="H89" s="201">
        <f>IF($C89,IF(ISNUMBER('Proyecto Datos (OKR´s)'!$F89),'Proyecto Datos (OKR´s)'!$F89,'Proyecto Datos (OKR´s)'!$L89),"")</f>
      </c>
      <c r="I89" s="201">
        <f>IF($C89,'Proyecto Datos (OKR´s)'!$J89,"")</f>
      </c>
      <c r="J89" s="202">
        <f>IF($C89,IF($I89&gt;=1,"Completado",IF($H89&lt;TODAY(),"Vencido",IF(($H89-TODAY())&lt;='Entregas Próximas'!$M$3,"Próximo a vencer","En curso"))),"")</f>
      </c>
      <c r="K89" s="201">
        <f>IF($C89,$H89-TODAY(),"")</f>
      </c>
      <c r="L89" s="201">
        <f>IF($C89,$AD89*1000000+$H89+ROW()/100000,"")</f>
      </c>
      <c r="M89" s="201">
        <f>IF($C89,IF($AD89=9999,"(Sin sprint)",$AD89),"")</f>
      </c>
      <c r="N89" s="201">
        <f>IF($C89,IF('Proyecto Datos (OKR´s)'!$E89="",9999,'Proyecto Datos (OKR´s)'!$E89),"")</f>
      </c>
      <c r="O89" s="201">
        <f>IF($C89,"T"&amp;TEXT(ROW(),"000"),"")</f>
      </c>
      <c r="R89" s="201">
        <f>IF($C89,IF(ISNUMBER('Proyecto Datos (OKR´s)'!$L89),'Proyecto Datos (OKR´s)'!$L89,$H89),"")</f>
      </c>
      <c r="S89" s="201">
        <f>IF($C89,$R89-'Proyecto Datos (OKR´s)'!$K89+1,"")</f>
      </c>
      <c r="T89" s="201">
        <f>IF($C89,MAX(0,TODAY()-'Proyecto Datos (OKR´s)'!$K89),"")</f>
      </c>
      <c r="U89" s="201">
        <f>IF($C89,MEDIAN(0,(TODAY()-'Proyecto Datos (OKR´s)'!$K89)/MAX(1,$R89-'Proyecto Datos (OKR´s)'!$K89),1),"")</f>
      </c>
      <c r="V89" s="201">
        <f>IF($C89,$I89-$U89,"")</f>
      </c>
      <c r="W89" s="201">
        <f>IF($C89,IF($J89="Completado",0,MAX(0,TODAY()-$H89)),"")</f>
      </c>
      <c r="X89" s="201">
        <f>IF($C89,IF(ISNUMBER($H89),$R89-$H89,0),"")</f>
      </c>
      <c r="Y89" s="201">
        <f>IF($C89,COUNTIFS($G$7:$G$200,$G89,$J$7:$J$200,"&lt;&gt;Completado",$J$7:$J$200,"&lt;&gt;"),"")</f>
      </c>
      <c r="Z89" s="201">
        <f>IF($C89,AND($I89=0,'Proyecto Datos (OKR´s)'!$K89&lt;=TODAY(),$J89&lt;&gt;"Completado"),"")</f>
      </c>
      <c r="AA89" s="201">
        <f>IF($C89,ROUND(100*(0.35*$AK89+0.3*$AL89+0.2*$AM89+0.15*MEDIAN(0,($Y89-4)/8,1)),0),"")</f>
      </c>
      <c r="AB89" s="202">
        <f>IF($C89,IF($J89="Completado","—",IF($AA89&gt;=70,"Crítica",IF($AA89&gt;=45,"Alta",IF($AA89&gt;=25,"Media","Baja")))),"")</f>
      </c>
      <c r="AC89" s="202">
        <f>IF($C89,IF(LEN(TRIM($AN89))=0,"—",TRIM($AN89)),"")</f>
      </c>
      <c r="AD89" s="201">
        <f>IF($C89,IF($N89=9999,9999,IF($J89="Completado",$N89,MAX($N89,'Historial de Sprints'!$C$7))),"")</f>
      </c>
      <c r="AE89" s="201">
        <f>IF($C89,IF($AD89=9999,"(Sin sprint)",$AD89),"")</f>
      </c>
      <c r="AF89" s="201">
        <f>IF($C89,AND($N89&lt;&gt;9999,$AD89&lt;&gt;$N89),FALSE)</f>
      </c>
      <c r="AG89" s="201">
        <f>IF($AF89,'Historial de Sprints'!$C$5+$N89*'Historial de Sprints'!$C$6-1,"")</f>
      </c>
      <c r="AH89" s="202">
        <f>IF($AF89,"No completada al cierre del Sprint "&amp;$N89&amp;" -&gt; reasignada al Sprint "&amp;$AD89,"")</f>
      </c>
      <c r="AI89" s="201">
        <f>IF($AF89,$N89*100000+ROW(),"")</f>
      </c>
      <c r="AJ89" s="201">
        <f>IF($C89,$AA89*1000000-MEDIAN(-9999,$K89,9999)*100+(300-ROW()),"")</f>
      </c>
      <c r="AK89" s="201">
        <f>IF($C89,IF($J89="Completado",0,IF($K89&lt;0,1,IF($K89&lt;=3,0.9,IF($K89&lt;=7,0.7,IF($K89&lt;=14,0.45,0.2))))),"")</f>
      </c>
      <c r="AL89" s="201">
        <f>IF($C89,IF($J89="Completado",0,MEDIAN(0,MAX(-$V89,$W89/30),1)),"")</f>
      </c>
      <c r="AM89" s="201">
        <f>IF($C89,IF($J89="Completado",0,IF($Z89,1,IF(AND($I89&lt;0.5,$K89&lt;=7),0.7,0.3))),"")</f>
      </c>
      <c r="AN89" s="202">
        <f>IF($C89,IF(OR($V89&lt;-0.2,$W89&gt;0),"ATRASO ","")&amp;IF($Z89,"BLOQUEO ","")&amp;IF($Y89&gt;8,"SOBRECARGA ","")&amp;IF($X89&gt;0,"DESVÍO-PLAN ",""),"")</f>
      </c>
    </row>
    <row r="90">
      <c r="A90" s="201">
        <f>ROW()</f>
      </c>
      <c r="B90" s="201">
        <f>ISTEXT('Proyecto Datos (OKR´s)'!$K90)</f>
      </c>
      <c r="C90" s="201">
        <f>AND(LEN('Proyecto Datos (OKR´s)'!$G90)&gt;0,NOT($B90),OR(ISNUMBER('Proyecto Datos (OKR´s)'!$F90),ISNUMBER('Proyecto Datos (OKR´s)'!$L90)))</f>
      </c>
      <c r="D90" s="202">
        <f>IF($C90,IFERROR(LOOKUP(2,1/((ISTEXT('Proyecto Datos (OKR´s)'!$K$7:$K90))*(LEN('Proyecto Datos (OKR´s)'!$G$7:$G90)&gt;0)),'Proyecto Datos (OKR´s)'!$G$7:$G90),""),"")</f>
      </c>
      <c r="E90" s="201">
        <f>IF($C90,'Proyecto Datos (OKR´s)'!$E90,"")</f>
      </c>
      <c r="F90" s="202">
        <f>IF($C90,'Proyecto Datos (OKR´s)'!$G90,"")</f>
      </c>
      <c r="G90" s="202">
        <f>IF($C90,IF('Proyecto Datos (OKR´s)'!$I90="","(Sin asignar)",'Proyecto Datos (OKR´s)'!$I90),"")</f>
      </c>
      <c r="H90" s="201">
        <f>IF($C90,IF(ISNUMBER('Proyecto Datos (OKR´s)'!$F90),'Proyecto Datos (OKR´s)'!$F90,'Proyecto Datos (OKR´s)'!$L90),"")</f>
      </c>
      <c r="I90" s="201">
        <f>IF($C90,'Proyecto Datos (OKR´s)'!$J90,"")</f>
      </c>
      <c r="J90" s="202">
        <f>IF($C90,IF($I90&gt;=1,"Completado",IF($H90&lt;TODAY(),"Vencido",IF(($H90-TODAY())&lt;='Entregas Próximas'!$M$3,"Próximo a vencer","En curso"))),"")</f>
      </c>
      <c r="K90" s="201">
        <f>IF($C90,$H90-TODAY(),"")</f>
      </c>
      <c r="L90" s="201">
        <f>IF($C90,$AD90*1000000+$H90+ROW()/100000,"")</f>
      </c>
      <c r="M90" s="201">
        <f>IF($C90,IF($AD90=9999,"(Sin sprint)",$AD90),"")</f>
      </c>
      <c r="N90" s="201">
        <f>IF($C90,IF('Proyecto Datos (OKR´s)'!$E90="",9999,'Proyecto Datos (OKR´s)'!$E90),"")</f>
      </c>
      <c r="O90" s="201">
        <f>IF($C90,"T"&amp;TEXT(ROW(),"000"),"")</f>
      </c>
      <c r="R90" s="201">
        <f>IF($C90,IF(ISNUMBER('Proyecto Datos (OKR´s)'!$L90),'Proyecto Datos (OKR´s)'!$L90,$H90),"")</f>
      </c>
      <c r="S90" s="201">
        <f>IF($C90,$R90-'Proyecto Datos (OKR´s)'!$K90+1,"")</f>
      </c>
      <c r="T90" s="201">
        <f>IF($C90,MAX(0,TODAY()-'Proyecto Datos (OKR´s)'!$K90),"")</f>
      </c>
      <c r="U90" s="201">
        <f>IF($C90,MEDIAN(0,(TODAY()-'Proyecto Datos (OKR´s)'!$K90)/MAX(1,$R90-'Proyecto Datos (OKR´s)'!$K90),1),"")</f>
      </c>
      <c r="V90" s="201">
        <f>IF($C90,$I90-$U90,"")</f>
      </c>
      <c r="W90" s="201">
        <f>IF($C90,IF($J90="Completado",0,MAX(0,TODAY()-$H90)),"")</f>
      </c>
      <c r="X90" s="201">
        <f>IF($C90,IF(ISNUMBER($H90),$R90-$H90,0),"")</f>
      </c>
      <c r="Y90" s="201">
        <f>IF($C90,COUNTIFS($G$7:$G$200,$G90,$J$7:$J$200,"&lt;&gt;Completado",$J$7:$J$200,"&lt;&gt;"),"")</f>
      </c>
      <c r="Z90" s="201">
        <f>IF($C90,AND($I90=0,'Proyecto Datos (OKR´s)'!$K90&lt;=TODAY(),$J90&lt;&gt;"Completado"),"")</f>
      </c>
      <c r="AA90" s="201">
        <f>IF($C90,ROUND(100*(0.35*$AK90+0.3*$AL90+0.2*$AM90+0.15*MEDIAN(0,($Y90-4)/8,1)),0),"")</f>
      </c>
      <c r="AB90" s="202">
        <f>IF($C90,IF($J90="Completado","—",IF($AA90&gt;=70,"Crítica",IF($AA90&gt;=45,"Alta",IF($AA90&gt;=25,"Media","Baja")))),"")</f>
      </c>
      <c r="AC90" s="202">
        <f>IF($C90,IF(LEN(TRIM($AN90))=0,"—",TRIM($AN90)),"")</f>
      </c>
      <c r="AD90" s="201">
        <f>IF($C90,IF($N90=9999,9999,IF($J90="Completado",$N90,MAX($N90,'Historial de Sprints'!$C$7))),"")</f>
      </c>
      <c r="AE90" s="201">
        <f>IF($C90,IF($AD90=9999,"(Sin sprint)",$AD90),"")</f>
      </c>
      <c r="AF90" s="201">
        <f>IF($C90,AND($N90&lt;&gt;9999,$AD90&lt;&gt;$N90),FALSE)</f>
      </c>
      <c r="AG90" s="201">
        <f>IF($AF90,'Historial de Sprints'!$C$5+$N90*'Historial de Sprints'!$C$6-1,"")</f>
      </c>
      <c r="AH90" s="202">
        <f>IF($AF90,"No completada al cierre del Sprint "&amp;$N90&amp;" -&gt; reasignada al Sprint "&amp;$AD90,"")</f>
      </c>
      <c r="AI90" s="201">
        <f>IF($AF90,$N90*100000+ROW(),"")</f>
      </c>
      <c r="AJ90" s="201">
        <f>IF($C90,$AA90*1000000-MEDIAN(-9999,$K90,9999)*100+(300-ROW()),"")</f>
      </c>
      <c r="AK90" s="201">
        <f>IF($C90,IF($J90="Completado",0,IF($K90&lt;0,1,IF($K90&lt;=3,0.9,IF($K90&lt;=7,0.7,IF($K90&lt;=14,0.45,0.2))))),"")</f>
      </c>
      <c r="AL90" s="201">
        <f>IF($C90,IF($J90="Completado",0,MEDIAN(0,MAX(-$V90,$W90/30),1)),"")</f>
      </c>
      <c r="AM90" s="201">
        <f>IF($C90,IF($J90="Completado",0,IF($Z90,1,IF(AND($I90&lt;0.5,$K90&lt;=7),0.7,0.3))),"")</f>
      </c>
      <c r="AN90" s="202">
        <f>IF($C90,IF(OR($V90&lt;-0.2,$W90&gt;0),"ATRASO ","")&amp;IF($Z90,"BLOQUEO ","")&amp;IF($Y90&gt;8,"SOBRECARGA ","")&amp;IF($X90&gt;0,"DESVÍO-PLAN ",""),"")</f>
      </c>
    </row>
    <row r="91">
      <c r="A91" s="201">
        <f>ROW()</f>
      </c>
      <c r="B91" s="201">
        <f>ISTEXT('Proyecto Datos (OKR´s)'!$K91)</f>
      </c>
      <c r="C91" s="201">
        <f>AND(LEN('Proyecto Datos (OKR´s)'!$G91)&gt;0,NOT($B91),OR(ISNUMBER('Proyecto Datos (OKR´s)'!$F91),ISNUMBER('Proyecto Datos (OKR´s)'!$L91)))</f>
      </c>
      <c r="D91" s="202">
        <f>IF($C91,IFERROR(LOOKUP(2,1/((ISTEXT('Proyecto Datos (OKR´s)'!$K$7:$K91))*(LEN('Proyecto Datos (OKR´s)'!$G$7:$G91)&gt;0)),'Proyecto Datos (OKR´s)'!$G$7:$G91),""),"")</f>
      </c>
      <c r="E91" s="201">
        <f>IF($C91,'Proyecto Datos (OKR´s)'!$E91,"")</f>
      </c>
      <c r="F91" s="202">
        <f>IF($C91,'Proyecto Datos (OKR´s)'!$G91,"")</f>
      </c>
      <c r="G91" s="202">
        <f>IF($C91,IF('Proyecto Datos (OKR´s)'!$I91="","(Sin asignar)",'Proyecto Datos (OKR´s)'!$I91),"")</f>
      </c>
      <c r="H91" s="201">
        <f>IF($C91,IF(ISNUMBER('Proyecto Datos (OKR´s)'!$F91),'Proyecto Datos (OKR´s)'!$F91,'Proyecto Datos (OKR´s)'!$L91),"")</f>
      </c>
      <c r="I91" s="201">
        <f>IF($C91,'Proyecto Datos (OKR´s)'!$J91,"")</f>
      </c>
      <c r="J91" s="202">
        <f>IF($C91,IF($I91&gt;=1,"Completado",IF($H91&lt;TODAY(),"Vencido",IF(($H91-TODAY())&lt;='Entregas Próximas'!$M$3,"Próximo a vencer","En curso"))),"")</f>
      </c>
      <c r="K91" s="201">
        <f>IF($C91,$H91-TODAY(),"")</f>
      </c>
      <c r="L91" s="201">
        <f>IF($C91,$AD91*1000000+$H91+ROW()/100000,"")</f>
      </c>
      <c r="M91" s="201">
        <f>IF($C91,IF($AD91=9999,"(Sin sprint)",$AD91),"")</f>
      </c>
      <c r="N91" s="201">
        <f>IF($C91,IF('Proyecto Datos (OKR´s)'!$E91="",9999,'Proyecto Datos (OKR´s)'!$E91),"")</f>
      </c>
      <c r="O91" s="201">
        <f>IF($C91,"T"&amp;TEXT(ROW(),"000"),"")</f>
      </c>
      <c r="R91" s="201">
        <f>IF($C91,IF(ISNUMBER('Proyecto Datos (OKR´s)'!$L91),'Proyecto Datos (OKR´s)'!$L91,$H91),"")</f>
      </c>
      <c r="S91" s="201">
        <f>IF($C91,$R91-'Proyecto Datos (OKR´s)'!$K91+1,"")</f>
      </c>
      <c r="T91" s="201">
        <f>IF($C91,MAX(0,TODAY()-'Proyecto Datos (OKR´s)'!$K91),"")</f>
      </c>
      <c r="U91" s="201">
        <f>IF($C91,MEDIAN(0,(TODAY()-'Proyecto Datos (OKR´s)'!$K91)/MAX(1,$R91-'Proyecto Datos (OKR´s)'!$K91),1),"")</f>
      </c>
      <c r="V91" s="201">
        <f>IF($C91,$I91-$U91,"")</f>
      </c>
      <c r="W91" s="201">
        <f>IF($C91,IF($J91="Completado",0,MAX(0,TODAY()-$H91)),"")</f>
      </c>
      <c r="X91" s="201">
        <f>IF($C91,IF(ISNUMBER($H91),$R91-$H91,0),"")</f>
      </c>
      <c r="Y91" s="201">
        <f>IF($C91,COUNTIFS($G$7:$G$200,$G91,$J$7:$J$200,"&lt;&gt;Completado",$J$7:$J$200,"&lt;&gt;"),"")</f>
      </c>
      <c r="Z91" s="201">
        <f>IF($C91,AND($I91=0,'Proyecto Datos (OKR´s)'!$K91&lt;=TODAY(),$J91&lt;&gt;"Completado"),"")</f>
      </c>
      <c r="AA91" s="201">
        <f>IF($C91,ROUND(100*(0.35*$AK91+0.3*$AL91+0.2*$AM91+0.15*MEDIAN(0,($Y91-4)/8,1)),0),"")</f>
      </c>
      <c r="AB91" s="202">
        <f>IF($C91,IF($J91="Completado","—",IF($AA91&gt;=70,"Crítica",IF($AA91&gt;=45,"Alta",IF($AA91&gt;=25,"Media","Baja")))),"")</f>
      </c>
      <c r="AC91" s="202">
        <f>IF($C91,IF(LEN(TRIM($AN91))=0,"—",TRIM($AN91)),"")</f>
      </c>
      <c r="AD91" s="201">
        <f>IF($C91,IF($N91=9999,9999,IF($J91="Completado",$N91,MAX($N91,'Historial de Sprints'!$C$7))),"")</f>
      </c>
      <c r="AE91" s="201">
        <f>IF($C91,IF($AD91=9999,"(Sin sprint)",$AD91),"")</f>
      </c>
      <c r="AF91" s="201">
        <f>IF($C91,AND($N91&lt;&gt;9999,$AD91&lt;&gt;$N91),FALSE)</f>
      </c>
      <c r="AG91" s="201">
        <f>IF($AF91,'Historial de Sprints'!$C$5+$N91*'Historial de Sprints'!$C$6-1,"")</f>
      </c>
      <c r="AH91" s="202">
        <f>IF($AF91,"No completada al cierre del Sprint "&amp;$N91&amp;" -&gt; reasignada al Sprint "&amp;$AD91,"")</f>
      </c>
      <c r="AI91" s="201">
        <f>IF($AF91,$N91*100000+ROW(),"")</f>
      </c>
      <c r="AJ91" s="201">
        <f>IF($C91,$AA91*1000000-MEDIAN(-9999,$K91,9999)*100+(300-ROW()),"")</f>
      </c>
      <c r="AK91" s="201">
        <f>IF($C91,IF($J91="Completado",0,IF($K91&lt;0,1,IF($K91&lt;=3,0.9,IF($K91&lt;=7,0.7,IF($K91&lt;=14,0.45,0.2))))),"")</f>
      </c>
      <c r="AL91" s="201">
        <f>IF($C91,IF($J91="Completado",0,MEDIAN(0,MAX(-$V91,$W91/30),1)),"")</f>
      </c>
      <c r="AM91" s="201">
        <f>IF($C91,IF($J91="Completado",0,IF($Z91,1,IF(AND($I91&lt;0.5,$K91&lt;=7),0.7,0.3))),"")</f>
      </c>
      <c r="AN91" s="202">
        <f>IF($C91,IF(OR($V91&lt;-0.2,$W91&gt;0),"ATRASO ","")&amp;IF($Z91,"BLOQUEO ","")&amp;IF($Y91&gt;8,"SOBRECARGA ","")&amp;IF($X91&gt;0,"DESVÍO-PLAN ",""),"")</f>
      </c>
    </row>
    <row r="92">
      <c r="A92" s="201">
        <f>ROW()</f>
      </c>
      <c r="B92" s="201">
        <f>ISTEXT('Proyecto Datos (OKR´s)'!$K92)</f>
      </c>
      <c r="C92" s="201">
        <f>AND(LEN('Proyecto Datos (OKR´s)'!$G92)&gt;0,NOT($B92),OR(ISNUMBER('Proyecto Datos (OKR´s)'!$F92),ISNUMBER('Proyecto Datos (OKR´s)'!$L92)))</f>
      </c>
      <c r="D92" s="202">
        <f>IF($C92,IFERROR(LOOKUP(2,1/((ISTEXT('Proyecto Datos (OKR´s)'!$K$7:$K92))*(LEN('Proyecto Datos (OKR´s)'!$G$7:$G92)&gt;0)),'Proyecto Datos (OKR´s)'!$G$7:$G92),""),"")</f>
      </c>
      <c r="E92" s="201">
        <f>IF($C92,'Proyecto Datos (OKR´s)'!$E92,"")</f>
      </c>
      <c r="F92" s="202">
        <f>IF($C92,'Proyecto Datos (OKR´s)'!$G92,"")</f>
      </c>
      <c r="G92" s="202">
        <f>IF($C92,IF('Proyecto Datos (OKR´s)'!$I92="","(Sin asignar)",'Proyecto Datos (OKR´s)'!$I92),"")</f>
      </c>
      <c r="H92" s="201">
        <f>IF($C92,IF(ISNUMBER('Proyecto Datos (OKR´s)'!$F92),'Proyecto Datos (OKR´s)'!$F92,'Proyecto Datos (OKR´s)'!$L92),"")</f>
      </c>
      <c r="I92" s="201">
        <f>IF($C92,'Proyecto Datos (OKR´s)'!$J92,"")</f>
      </c>
      <c r="J92" s="202">
        <f>IF($C92,IF($I92&gt;=1,"Completado",IF($H92&lt;TODAY(),"Vencido",IF(($H92-TODAY())&lt;='Entregas Próximas'!$M$3,"Próximo a vencer","En curso"))),"")</f>
      </c>
      <c r="K92" s="201">
        <f>IF($C92,$H92-TODAY(),"")</f>
      </c>
      <c r="L92" s="201">
        <f>IF($C92,$AD92*1000000+$H92+ROW()/100000,"")</f>
      </c>
      <c r="M92" s="201">
        <f>IF($C92,IF($AD92=9999,"(Sin sprint)",$AD92),"")</f>
      </c>
      <c r="N92" s="201">
        <f>IF($C92,IF('Proyecto Datos (OKR´s)'!$E92="",9999,'Proyecto Datos (OKR´s)'!$E92),"")</f>
      </c>
      <c r="O92" s="201">
        <f>IF($C92,"T"&amp;TEXT(ROW(),"000"),"")</f>
      </c>
      <c r="R92" s="201">
        <f>IF($C92,IF(ISNUMBER('Proyecto Datos (OKR´s)'!$L92),'Proyecto Datos (OKR´s)'!$L92,$H92),"")</f>
      </c>
      <c r="S92" s="201">
        <f>IF($C92,$R92-'Proyecto Datos (OKR´s)'!$K92+1,"")</f>
      </c>
      <c r="T92" s="201">
        <f>IF($C92,MAX(0,TODAY()-'Proyecto Datos (OKR´s)'!$K92),"")</f>
      </c>
      <c r="U92" s="201">
        <f>IF($C92,MEDIAN(0,(TODAY()-'Proyecto Datos (OKR´s)'!$K92)/MAX(1,$R92-'Proyecto Datos (OKR´s)'!$K92),1),"")</f>
      </c>
      <c r="V92" s="201">
        <f>IF($C92,$I92-$U92,"")</f>
      </c>
      <c r="W92" s="201">
        <f>IF($C92,IF($J92="Completado",0,MAX(0,TODAY()-$H92)),"")</f>
      </c>
      <c r="X92" s="201">
        <f>IF($C92,IF(ISNUMBER($H92),$R92-$H92,0),"")</f>
      </c>
      <c r="Y92" s="201">
        <f>IF($C92,COUNTIFS($G$7:$G$200,$G92,$J$7:$J$200,"&lt;&gt;Completado",$J$7:$J$200,"&lt;&gt;"),"")</f>
      </c>
      <c r="Z92" s="201">
        <f>IF($C92,AND($I92=0,'Proyecto Datos (OKR´s)'!$K92&lt;=TODAY(),$J92&lt;&gt;"Completado"),"")</f>
      </c>
      <c r="AA92" s="201">
        <f>IF($C92,ROUND(100*(0.35*$AK92+0.3*$AL92+0.2*$AM92+0.15*MEDIAN(0,($Y92-4)/8,1)),0),"")</f>
      </c>
      <c r="AB92" s="202">
        <f>IF($C92,IF($J92="Completado","—",IF($AA92&gt;=70,"Crítica",IF($AA92&gt;=45,"Alta",IF($AA92&gt;=25,"Media","Baja")))),"")</f>
      </c>
      <c r="AC92" s="202">
        <f>IF($C92,IF(LEN(TRIM($AN92))=0,"—",TRIM($AN92)),"")</f>
      </c>
      <c r="AD92" s="201">
        <f>IF($C92,IF($N92=9999,9999,IF($J92="Completado",$N92,MAX($N92,'Historial de Sprints'!$C$7))),"")</f>
      </c>
      <c r="AE92" s="201">
        <f>IF($C92,IF($AD92=9999,"(Sin sprint)",$AD92),"")</f>
      </c>
      <c r="AF92" s="201">
        <f>IF($C92,AND($N92&lt;&gt;9999,$AD92&lt;&gt;$N92),FALSE)</f>
      </c>
      <c r="AG92" s="201">
        <f>IF($AF92,'Historial de Sprints'!$C$5+$N92*'Historial de Sprints'!$C$6-1,"")</f>
      </c>
      <c r="AH92" s="202">
        <f>IF($AF92,"No completada al cierre del Sprint "&amp;$N92&amp;" -&gt; reasignada al Sprint "&amp;$AD92,"")</f>
      </c>
      <c r="AI92" s="201">
        <f>IF($AF92,$N92*100000+ROW(),"")</f>
      </c>
      <c r="AJ92" s="201">
        <f>IF($C92,$AA92*1000000-MEDIAN(-9999,$K92,9999)*100+(300-ROW()),"")</f>
      </c>
      <c r="AK92" s="201">
        <f>IF($C92,IF($J92="Completado",0,IF($K92&lt;0,1,IF($K92&lt;=3,0.9,IF($K92&lt;=7,0.7,IF($K92&lt;=14,0.45,0.2))))),"")</f>
      </c>
      <c r="AL92" s="201">
        <f>IF($C92,IF($J92="Completado",0,MEDIAN(0,MAX(-$V92,$W92/30),1)),"")</f>
      </c>
      <c r="AM92" s="201">
        <f>IF($C92,IF($J92="Completado",0,IF($Z92,1,IF(AND($I92&lt;0.5,$K92&lt;=7),0.7,0.3))),"")</f>
      </c>
      <c r="AN92" s="202">
        <f>IF($C92,IF(OR($V92&lt;-0.2,$W92&gt;0),"ATRASO ","")&amp;IF($Z92,"BLOQUEO ","")&amp;IF($Y92&gt;8,"SOBRECARGA ","")&amp;IF($X92&gt;0,"DESVÍO-PLAN ",""),"")</f>
      </c>
    </row>
    <row r="93">
      <c r="A93" s="201">
        <f>ROW()</f>
      </c>
      <c r="B93" s="201">
        <f>ISTEXT('Proyecto Datos (OKR´s)'!$K93)</f>
      </c>
      <c r="C93" s="201">
        <f>AND(LEN('Proyecto Datos (OKR´s)'!$G93)&gt;0,NOT($B93),OR(ISNUMBER('Proyecto Datos (OKR´s)'!$F93),ISNUMBER('Proyecto Datos (OKR´s)'!$L93)))</f>
      </c>
      <c r="D93" s="202">
        <f>IF($C93,IFERROR(LOOKUP(2,1/((ISTEXT('Proyecto Datos (OKR´s)'!$K$7:$K93))*(LEN('Proyecto Datos (OKR´s)'!$G$7:$G93)&gt;0)),'Proyecto Datos (OKR´s)'!$G$7:$G93),""),"")</f>
      </c>
      <c r="E93" s="201">
        <f>IF($C93,'Proyecto Datos (OKR´s)'!$E93,"")</f>
      </c>
      <c r="F93" s="202">
        <f>IF($C93,'Proyecto Datos (OKR´s)'!$G93,"")</f>
      </c>
      <c r="G93" s="202">
        <f>IF($C93,IF('Proyecto Datos (OKR´s)'!$I93="","(Sin asignar)",'Proyecto Datos (OKR´s)'!$I93),"")</f>
      </c>
      <c r="H93" s="201">
        <f>IF($C93,IF(ISNUMBER('Proyecto Datos (OKR´s)'!$F93),'Proyecto Datos (OKR´s)'!$F93,'Proyecto Datos (OKR´s)'!$L93),"")</f>
      </c>
      <c r="I93" s="201">
        <f>IF($C93,'Proyecto Datos (OKR´s)'!$J93,"")</f>
      </c>
      <c r="J93" s="202">
        <f>IF($C93,IF($I93&gt;=1,"Completado",IF($H93&lt;TODAY(),"Vencido",IF(($H93-TODAY())&lt;='Entregas Próximas'!$M$3,"Próximo a vencer","En curso"))),"")</f>
      </c>
      <c r="K93" s="201">
        <f>IF($C93,$H93-TODAY(),"")</f>
      </c>
      <c r="L93" s="201">
        <f>IF($C93,$AD93*1000000+$H93+ROW()/100000,"")</f>
      </c>
      <c r="M93" s="201">
        <f>IF($C93,IF($AD93=9999,"(Sin sprint)",$AD93),"")</f>
      </c>
      <c r="N93" s="201">
        <f>IF($C93,IF('Proyecto Datos (OKR´s)'!$E93="",9999,'Proyecto Datos (OKR´s)'!$E93),"")</f>
      </c>
      <c r="O93" s="201">
        <f>IF($C93,"T"&amp;TEXT(ROW(),"000"),"")</f>
      </c>
      <c r="R93" s="201">
        <f>IF($C93,IF(ISNUMBER('Proyecto Datos (OKR´s)'!$L93),'Proyecto Datos (OKR´s)'!$L93,$H93),"")</f>
      </c>
      <c r="S93" s="201">
        <f>IF($C93,$R93-'Proyecto Datos (OKR´s)'!$K93+1,"")</f>
      </c>
      <c r="T93" s="201">
        <f>IF($C93,MAX(0,TODAY()-'Proyecto Datos (OKR´s)'!$K93),"")</f>
      </c>
      <c r="U93" s="201">
        <f>IF($C93,MEDIAN(0,(TODAY()-'Proyecto Datos (OKR´s)'!$K93)/MAX(1,$R93-'Proyecto Datos (OKR´s)'!$K93),1),"")</f>
      </c>
      <c r="V93" s="201">
        <f>IF($C93,$I93-$U93,"")</f>
      </c>
      <c r="W93" s="201">
        <f>IF($C93,IF($J93="Completado",0,MAX(0,TODAY()-$H93)),"")</f>
      </c>
      <c r="X93" s="201">
        <f>IF($C93,IF(ISNUMBER($H93),$R93-$H93,0),"")</f>
      </c>
      <c r="Y93" s="201">
        <f>IF($C93,COUNTIFS($G$7:$G$200,$G93,$J$7:$J$200,"&lt;&gt;Completado",$J$7:$J$200,"&lt;&gt;"),"")</f>
      </c>
      <c r="Z93" s="201">
        <f>IF($C93,AND($I93=0,'Proyecto Datos (OKR´s)'!$K93&lt;=TODAY(),$J93&lt;&gt;"Completado"),"")</f>
      </c>
      <c r="AA93" s="201">
        <f>IF($C93,ROUND(100*(0.35*$AK93+0.3*$AL93+0.2*$AM93+0.15*MEDIAN(0,($Y93-4)/8,1)),0),"")</f>
      </c>
      <c r="AB93" s="202">
        <f>IF($C93,IF($J93="Completado","—",IF($AA93&gt;=70,"Crítica",IF($AA93&gt;=45,"Alta",IF($AA93&gt;=25,"Media","Baja")))),"")</f>
      </c>
      <c r="AC93" s="202">
        <f>IF($C93,IF(LEN(TRIM($AN93))=0,"—",TRIM($AN93)),"")</f>
      </c>
      <c r="AD93" s="201">
        <f>IF($C93,IF($N93=9999,9999,IF($J93="Completado",$N93,MAX($N93,'Historial de Sprints'!$C$7))),"")</f>
      </c>
      <c r="AE93" s="201">
        <f>IF($C93,IF($AD93=9999,"(Sin sprint)",$AD93),"")</f>
      </c>
      <c r="AF93" s="201">
        <f>IF($C93,AND($N93&lt;&gt;9999,$AD93&lt;&gt;$N93),FALSE)</f>
      </c>
      <c r="AG93" s="201">
        <f>IF($AF93,'Historial de Sprints'!$C$5+$N93*'Historial de Sprints'!$C$6-1,"")</f>
      </c>
      <c r="AH93" s="202">
        <f>IF($AF93,"No completada al cierre del Sprint "&amp;$N93&amp;" -&gt; reasignada al Sprint "&amp;$AD93,"")</f>
      </c>
      <c r="AI93" s="201">
        <f>IF($AF93,$N93*100000+ROW(),"")</f>
      </c>
      <c r="AJ93" s="201">
        <f>IF($C93,$AA93*1000000-MEDIAN(-9999,$K93,9999)*100+(300-ROW()),"")</f>
      </c>
      <c r="AK93" s="201">
        <f>IF($C93,IF($J93="Completado",0,IF($K93&lt;0,1,IF($K93&lt;=3,0.9,IF($K93&lt;=7,0.7,IF($K93&lt;=14,0.45,0.2))))),"")</f>
      </c>
      <c r="AL93" s="201">
        <f>IF($C93,IF($J93="Completado",0,MEDIAN(0,MAX(-$V93,$W93/30),1)),"")</f>
      </c>
      <c r="AM93" s="201">
        <f>IF($C93,IF($J93="Completado",0,IF($Z93,1,IF(AND($I93&lt;0.5,$K93&lt;=7),0.7,0.3))),"")</f>
      </c>
      <c r="AN93" s="202">
        <f>IF($C93,IF(OR($V93&lt;-0.2,$W93&gt;0),"ATRASO ","")&amp;IF($Z93,"BLOQUEO ","")&amp;IF($Y93&gt;8,"SOBRECARGA ","")&amp;IF($X93&gt;0,"DESVÍO-PLAN ",""),"")</f>
      </c>
    </row>
    <row r="94">
      <c r="A94" s="201">
        <f>ROW()</f>
      </c>
      <c r="B94" s="201">
        <f>ISTEXT('Proyecto Datos (OKR´s)'!$K94)</f>
      </c>
      <c r="C94" s="201">
        <f>AND(LEN('Proyecto Datos (OKR´s)'!$G94)&gt;0,NOT($B94),OR(ISNUMBER('Proyecto Datos (OKR´s)'!$F94),ISNUMBER('Proyecto Datos (OKR´s)'!$L94)))</f>
      </c>
      <c r="D94" s="202">
        <f>IF($C94,IFERROR(LOOKUP(2,1/((ISTEXT('Proyecto Datos (OKR´s)'!$K$7:$K94))*(LEN('Proyecto Datos (OKR´s)'!$G$7:$G94)&gt;0)),'Proyecto Datos (OKR´s)'!$G$7:$G94),""),"")</f>
      </c>
      <c r="E94" s="201">
        <f>IF($C94,'Proyecto Datos (OKR´s)'!$E94,"")</f>
      </c>
      <c r="F94" s="202">
        <f>IF($C94,'Proyecto Datos (OKR´s)'!$G94,"")</f>
      </c>
      <c r="G94" s="202">
        <f>IF($C94,IF('Proyecto Datos (OKR´s)'!$I94="","(Sin asignar)",'Proyecto Datos (OKR´s)'!$I94),"")</f>
      </c>
      <c r="H94" s="201">
        <f>IF($C94,IF(ISNUMBER('Proyecto Datos (OKR´s)'!$F94),'Proyecto Datos (OKR´s)'!$F94,'Proyecto Datos (OKR´s)'!$L94),"")</f>
      </c>
      <c r="I94" s="201">
        <f>IF($C94,'Proyecto Datos (OKR´s)'!$J94,"")</f>
      </c>
      <c r="J94" s="202">
        <f>IF($C94,IF($I94&gt;=1,"Completado",IF($H94&lt;TODAY(),"Vencido",IF(($H94-TODAY())&lt;='Entregas Próximas'!$M$3,"Próximo a vencer","En curso"))),"")</f>
      </c>
      <c r="K94" s="201">
        <f>IF($C94,$H94-TODAY(),"")</f>
      </c>
      <c r="L94" s="201">
        <f>IF($C94,$AD94*1000000+$H94+ROW()/100000,"")</f>
      </c>
      <c r="M94" s="201">
        <f>IF($C94,IF($AD94=9999,"(Sin sprint)",$AD94),"")</f>
      </c>
      <c r="N94" s="201">
        <f>IF($C94,IF('Proyecto Datos (OKR´s)'!$E94="",9999,'Proyecto Datos (OKR´s)'!$E94),"")</f>
      </c>
      <c r="O94" s="201">
        <f>IF($C94,"T"&amp;TEXT(ROW(),"000"),"")</f>
      </c>
      <c r="R94" s="201">
        <f>IF($C94,IF(ISNUMBER('Proyecto Datos (OKR´s)'!$L94),'Proyecto Datos (OKR´s)'!$L94,$H94),"")</f>
      </c>
      <c r="S94" s="201">
        <f>IF($C94,$R94-'Proyecto Datos (OKR´s)'!$K94+1,"")</f>
      </c>
      <c r="T94" s="201">
        <f>IF($C94,MAX(0,TODAY()-'Proyecto Datos (OKR´s)'!$K94),"")</f>
      </c>
      <c r="U94" s="201">
        <f>IF($C94,MEDIAN(0,(TODAY()-'Proyecto Datos (OKR´s)'!$K94)/MAX(1,$R94-'Proyecto Datos (OKR´s)'!$K94),1),"")</f>
      </c>
      <c r="V94" s="201">
        <f>IF($C94,$I94-$U94,"")</f>
      </c>
      <c r="W94" s="201">
        <f>IF($C94,IF($J94="Completado",0,MAX(0,TODAY()-$H94)),"")</f>
      </c>
      <c r="X94" s="201">
        <f>IF($C94,IF(ISNUMBER($H94),$R94-$H94,0),"")</f>
      </c>
      <c r="Y94" s="201">
        <f>IF($C94,COUNTIFS($G$7:$G$200,$G94,$J$7:$J$200,"&lt;&gt;Completado",$J$7:$J$200,"&lt;&gt;"),"")</f>
      </c>
      <c r="Z94" s="201">
        <f>IF($C94,AND($I94=0,'Proyecto Datos (OKR´s)'!$K94&lt;=TODAY(),$J94&lt;&gt;"Completado"),"")</f>
      </c>
      <c r="AA94" s="201">
        <f>IF($C94,ROUND(100*(0.35*$AK94+0.3*$AL94+0.2*$AM94+0.15*MEDIAN(0,($Y94-4)/8,1)),0),"")</f>
      </c>
      <c r="AB94" s="202">
        <f>IF($C94,IF($J94="Completado","—",IF($AA94&gt;=70,"Crítica",IF($AA94&gt;=45,"Alta",IF($AA94&gt;=25,"Media","Baja")))),"")</f>
      </c>
      <c r="AC94" s="202">
        <f>IF($C94,IF(LEN(TRIM($AN94))=0,"—",TRIM($AN94)),"")</f>
      </c>
      <c r="AD94" s="201">
        <f>IF($C94,IF($N94=9999,9999,IF($J94="Completado",$N94,MAX($N94,'Historial de Sprints'!$C$7))),"")</f>
      </c>
      <c r="AE94" s="201">
        <f>IF($C94,IF($AD94=9999,"(Sin sprint)",$AD94),"")</f>
      </c>
      <c r="AF94" s="201">
        <f>IF($C94,AND($N94&lt;&gt;9999,$AD94&lt;&gt;$N94),FALSE)</f>
      </c>
      <c r="AG94" s="201">
        <f>IF($AF94,'Historial de Sprints'!$C$5+$N94*'Historial de Sprints'!$C$6-1,"")</f>
      </c>
      <c r="AH94" s="202">
        <f>IF($AF94,"No completada al cierre del Sprint "&amp;$N94&amp;" -&gt; reasignada al Sprint "&amp;$AD94,"")</f>
      </c>
      <c r="AI94" s="201">
        <f>IF($AF94,$N94*100000+ROW(),"")</f>
      </c>
      <c r="AJ94" s="201">
        <f>IF($C94,$AA94*1000000-MEDIAN(-9999,$K94,9999)*100+(300-ROW()),"")</f>
      </c>
      <c r="AK94" s="201">
        <f>IF($C94,IF($J94="Completado",0,IF($K94&lt;0,1,IF($K94&lt;=3,0.9,IF($K94&lt;=7,0.7,IF($K94&lt;=14,0.45,0.2))))),"")</f>
      </c>
      <c r="AL94" s="201">
        <f>IF($C94,IF($J94="Completado",0,MEDIAN(0,MAX(-$V94,$W94/30),1)),"")</f>
      </c>
      <c r="AM94" s="201">
        <f>IF($C94,IF($J94="Completado",0,IF($Z94,1,IF(AND($I94&lt;0.5,$K94&lt;=7),0.7,0.3))),"")</f>
      </c>
      <c r="AN94" s="202">
        <f>IF($C94,IF(OR($V94&lt;-0.2,$W94&gt;0),"ATRASO ","")&amp;IF($Z94,"BLOQUEO ","")&amp;IF($Y94&gt;8,"SOBRECARGA ","")&amp;IF($X94&gt;0,"DESVÍO-PLAN ",""),"")</f>
      </c>
    </row>
    <row r="95">
      <c r="A95" s="201">
        <f>ROW()</f>
      </c>
      <c r="B95" s="201">
        <f>ISTEXT('Proyecto Datos (OKR´s)'!$K95)</f>
      </c>
      <c r="C95" s="201">
        <f>AND(LEN('Proyecto Datos (OKR´s)'!$G95)&gt;0,NOT($B95),OR(ISNUMBER('Proyecto Datos (OKR´s)'!$F95),ISNUMBER('Proyecto Datos (OKR´s)'!$L95)))</f>
      </c>
      <c r="D95" s="202">
        <f>IF($C95,IFERROR(LOOKUP(2,1/((ISTEXT('Proyecto Datos (OKR´s)'!$K$7:$K95))*(LEN('Proyecto Datos (OKR´s)'!$G$7:$G95)&gt;0)),'Proyecto Datos (OKR´s)'!$G$7:$G95),""),"")</f>
      </c>
      <c r="E95" s="201">
        <f>IF($C95,'Proyecto Datos (OKR´s)'!$E95,"")</f>
      </c>
      <c r="F95" s="202">
        <f>IF($C95,'Proyecto Datos (OKR´s)'!$G95,"")</f>
      </c>
      <c r="G95" s="202">
        <f>IF($C95,IF('Proyecto Datos (OKR´s)'!$I95="","(Sin asignar)",'Proyecto Datos (OKR´s)'!$I95),"")</f>
      </c>
      <c r="H95" s="201">
        <f>IF($C95,IF(ISNUMBER('Proyecto Datos (OKR´s)'!$F95),'Proyecto Datos (OKR´s)'!$F95,'Proyecto Datos (OKR´s)'!$L95),"")</f>
      </c>
      <c r="I95" s="201">
        <f>IF($C95,'Proyecto Datos (OKR´s)'!$J95,"")</f>
      </c>
      <c r="J95" s="202">
        <f>IF($C95,IF($I95&gt;=1,"Completado",IF($H95&lt;TODAY(),"Vencido",IF(($H95-TODAY())&lt;='Entregas Próximas'!$M$3,"Próximo a vencer","En curso"))),"")</f>
      </c>
      <c r="K95" s="201">
        <f>IF($C95,$H95-TODAY(),"")</f>
      </c>
      <c r="L95" s="201">
        <f>IF($C95,$AD95*1000000+$H95+ROW()/100000,"")</f>
      </c>
      <c r="M95" s="201">
        <f>IF($C95,IF($AD95=9999,"(Sin sprint)",$AD95),"")</f>
      </c>
      <c r="N95" s="201">
        <f>IF($C95,IF('Proyecto Datos (OKR´s)'!$E95="",9999,'Proyecto Datos (OKR´s)'!$E95),"")</f>
      </c>
      <c r="O95" s="201">
        <f>IF($C95,"T"&amp;TEXT(ROW(),"000"),"")</f>
      </c>
      <c r="R95" s="201">
        <f>IF($C95,IF(ISNUMBER('Proyecto Datos (OKR´s)'!$L95),'Proyecto Datos (OKR´s)'!$L95,$H95),"")</f>
      </c>
      <c r="S95" s="201">
        <f>IF($C95,$R95-'Proyecto Datos (OKR´s)'!$K95+1,"")</f>
      </c>
      <c r="T95" s="201">
        <f>IF($C95,MAX(0,TODAY()-'Proyecto Datos (OKR´s)'!$K95),"")</f>
      </c>
      <c r="U95" s="201">
        <f>IF($C95,MEDIAN(0,(TODAY()-'Proyecto Datos (OKR´s)'!$K95)/MAX(1,$R95-'Proyecto Datos (OKR´s)'!$K95),1),"")</f>
      </c>
      <c r="V95" s="201">
        <f>IF($C95,$I95-$U95,"")</f>
      </c>
      <c r="W95" s="201">
        <f>IF($C95,IF($J95="Completado",0,MAX(0,TODAY()-$H95)),"")</f>
      </c>
      <c r="X95" s="201">
        <f>IF($C95,IF(ISNUMBER($H95),$R95-$H95,0),"")</f>
      </c>
      <c r="Y95" s="201">
        <f>IF($C95,COUNTIFS($G$7:$G$200,$G95,$J$7:$J$200,"&lt;&gt;Completado",$J$7:$J$200,"&lt;&gt;"),"")</f>
      </c>
      <c r="Z95" s="201">
        <f>IF($C95,AND($I95=0,'Proyecto Datos (OKR´s)'!$K95&lt;=TODAY(),$J95&lt;&gt;"Completado"),"")</f>
      </c>
      <c r="AA95" s="201">
        <f>IF($C95,ROUND(100*(0.35*$AK95+0.3*$AL95+0.2*$AM95+0.15*MEDIAN(0,($Y95-4)/8,1)),0),"")</f>
      </c>
      <c r="AB95" s="202">
        <f>IF($C95,IF($J95="Completado","—",IF($AA95&gt;=70,"Crítica",IF($AA95&gt;=45,"Alta",IF($AA95&gt;=25,"Media","Baja")))),"")</f>
      </c>
      <c r="AC95" s="202">
        <f>IF($C95,IF(LEN(TRIM($AN95))=0,"—",TRIM($AN95)),"")</f>
      </c>
      <c r="AD95" s="201">
        <f>IF($C95,IF($N95=9999,9999,IF($J95="Completado",$N95,MAX($N95,'Historial de Sprints'!$C$7))),"")</f>
      </c>
      <c r="AE95" s="201">
        <f>IF($C95,IF($AD95=9999,"(Sin sprint)",$AD95),"")</f>
      </c>
      <c r="AF95" s="201">
        <f>IF($C95,AND($N95&lt;&gt;9999,$AD95&lt;&gt;$N95),FALSE)</f>
      </c>
      <c r="AG95" s="201">
        <f>IF($AF95,'Historial de Sprints'!$C$5+$N95*'Historial de Sprints'!$C$6-1,"")</f>
      </c>
      <c r="AH95" s="202">
        <f>IF($AF95,"No completada al cierre del Sprint "&amp;$N95&amp;" -&gt; reasignada al Sprint "&amp;$AD95,"")</f>
      </c>
      <c r="AI95" s="201">
        <f>IF($AF95,$N95*100000+ROW(),"")</f>
      </c>
      <c r="AJ95" s="201">
        <f>IF($C95,$AA95*1000000-MEDIAN(-9999,$K95,9999)*100+(300-ROW()),"")</f>
      </c>
      <c r="AK95" s="201">
        <f>IF($C95,IF($J95="Completado",0,IF($K95&lt;0,1,IF($K95&lt;=3,0.9,IF($K95&lt;=7,0.7,IF($K95&lt;=14,0.45,0.2))))),"")</f>
      </c>
      <c r="AL95" s="201">
        <f>IF($C95,IF($J95="Completado",0,MEDIAN(0,MAX(-$V95,$W95/30),1)),"")</f>
      </c>
      <c r="AM95" s="201">
        <f>IF($C95,IF($J95="Completado",0,IF($Z95,1,IF(AND($I95&lt;0.5,$K95&lt;=7),0.7,0.3))),"")</f>
      </c>
      <c r="AN95" s="202">
        <f>IF($C95,IF(OR($V95&lt;-0.2,$W95&gt;0),"ATRASO ","")&amp;IF($Z95,"BLOQUEO ","")&amp;IF($Y95&gt;8,"SOBRECARGA ","")&amp;IF($X95&gt;0,"DESVÍO-PLAN ",""),"")</f>
      </c>
    </row>
    <row r="96">
      <c r="A96" s="201">
        <f>ROW()</f>
      </c>
      <c r="B96" s="201">
        <f>ISTEXT('Proyecto Datos (OKR´s)'!$K96)</f>
      </c>
      <c r="C96" s="201">
        <f>AND(LEN('Proyecto Datos (OKR´s)'!$G96)&gt;0,NOT($B96),OR(ISNUMBER('Proyecto Datos (OKR´s)'!$F96),ISNUMBER('Proyecto Datos (OKR´s)'!$L96)))</f>
      </c>
      <c r="D96" s="202">
        <f>IF($C96,IFERROR(LOOKUP(2,1/((ISTEXT('Proyecto Datos (OKR´s)'!$K$7:$K96))*(LEN('Proyecto Datos (OKR´s)'!$G$7:$G96)&gt;0)),'Proyecto Datos (OKR´s)'!$G$7:$G96),""),"")</f>
      </c>
      <c r="E96" s="201">
        <f>IF($C96,'Proyecto Datos (OKR´s)'!$E96,"")</f>
      </c>
      <c r="F96" s="202">
        <f>IF($C96,'Proyecto Datos (OKR´s)'!$G96,"")</f>
      </c>
      <c r="G96" s="202">
        <f>IF($C96,IF('Proyecto Datos (OKR´s)'!$I96="","(Sin asignar)",'Proyecto Datos (OKR´s)'!$I96),"")</f>
      </c>
      <c r="H96" s="201">
        <f>IF($C96,IF(ISNUMBER('Proyecto Datos (OKR´s)'!$F96),'Proyecto Datos (OKR´s)'!$F96,'Proyecto Datos (OKR´s)'!$L96),"")</f>
      </c>
      <c r="I96" s="201">
        <f>IF($C96,'Proyecto Datos (OKR´s)'!$J96,"")</f>
      </c>
      <c r="J96" s="202">
        <f>IF($C96,IF($I96&gt;=1,"Completado",IF($H96&lt;TODAY(),"Vencido",IF(($H96-TODAY())&lt;='Entregas Próximas'!$M$3,"Próximo a vencer","En curso"))),"")</f>
      </c>
      <c r="K96" s="201">
        <f>IF($C96,$H96-TODAY(),"")</f>
      </c>
      <c r="L96" s="201">
        <f>IF($C96,$AD96*1000000+$H96+ROW()/100000,"")</f>
      </c>
      <c r="M96" s="201">
        <f>IF($C96,IF($AD96=9999,"(Sin sprint)",$AD96),"")</f>
      </c>
      <c r="N96" s="201">
        <f>IF($C96,IF('Proyecto Datos (OKR´s)'!$E96="",9999,'Proyecto Datos (OKR´s)'!$E96),"")</f>
      </c>
      <c r="O96" s="201">
        <f>IF($C96,"T"&amp;TEXT(ROW(),"000"),"")</f>
      </c>
      <c r="R96" s="201">
        <f>IF($C96,IF(ISNUMBER('Proyecto Datos (OKR´s)'!$L96),'Proyecto Datos (OKR´s)'!$L96,$H96),"")</f>
      </c>
      <c r="S96" s="201">
        <f>IF($C96,$R96-'Proyecto Datos (OKR´s)'!$K96+1,"")</f>
      </c>
      <c r="T96" s="201">
        <f>IF($C96,MAX(0,TODAY()-'Proyecto Datos (OKR´s)'!$K96),"")</f>
      </c>
      <c r="U96" s="201">
        <f>IF($C96,MEDIAN(0,(TODAY()-'Proyecto Datos (OKR´s)'!$K96)/MAX(1,$R96-'Proyecto Datos (OKR´s)'!$K96),1),"")</f>
      </c>
      <c r="V96" s="201">
        <f>IF($C96,$I96-$U96,"")</f>
      </c>
      <c r="W96" s="201">
        <f>IF($C96,IF($J96="Completado",0,MAX(0,TODAY()-$H96)),"")</f>
      </c>
      <c r="X96" s="201">
        <f>IF($C96,IF(ISNUMBER($H96),$R96-$H96,0),"")</f>
      </c>
      <c r="Y96" s="201">
        <f>IF($C96,COUNTIFS($G$7:$G$200,$G96,$J$7:$J$200,"&lt;&gt;Completado",$J$7:$J$200,"&lt;&gt;"),"")</f>
      </c>
      <c r="Z96" s="201">
        <f>IF($C96,AND($I96=0,'Proyecto Datos (OKR´s)'!$K96&lt;=TODAY(),$J96&lt;&gt;"Completado"),"")</f>
      </c>
      <c r="AA96" s="201">
        <f>IF($C96,ROUND(100*(0.35*$AK96+0.3*$AL96+0.2*$AM96+0.15*MEDIAN(0,($Y96-4)/8,1)),0),"")</f>
      </c>
      <c r="AB96" s="202">
        <f>IF($C96,IF($J96="Completado","—",IF($AA96&gt;=70,"Crítica",IF($AA96&gt;=45,"Alta",IF($AA96&gt;=25,"Media","Baja")))),"")</f>
      </c>
      <c r="AC96" s="202">
        <f>IF($C96,IF(LEN(TRIM($AN96))=0,"—",TRIM($AN96)),"")</f>
      </c>
      <c r="AD96" s="201">
        <f>IF($C96,IF($N96=9999,9999,IF($J96="Completado",$N96,MAX($N96,'Historial de Sprints'!$C$7))),"")</f>
      </c>
      <c r="AE96" s="201">
        <f>IF($C96,IF($AD96=9999,"(Sin sprint)",$AD96),"")</f>
      </c>
      <c r="AF96" s="201">
        <f>IF($C96,AND($N96&lt;&gt;9999,$AD96&lt;&gt;$N96),FALSE)</f>
      </c>
      <c r="AG96" s="201">
        <f>IF($AF96,'Historial de Sprints'!$C$5+$N96*'Historial de Sprints'!$C$6-1,"")</f>
      </c>
      <c r="AH96" s="202">
        <f>IF($AF96,"No completada al cierre del Sprint "&amp;$N96&amp;" -&gt; reasignada al Sprint "&amp;$AD96,"")</f>
      </c>
      <c r="AI96" s="201">
        <f>IF($AF96,$N96*100000+ROW(),"")</f>
      </c>
      <c r="AJ96" s="201">
        <f>IF($C96,$AA96*1000000-MEDIAN(-9999,$K96,9999)*100+(300-ROW()),"")</f>
      </c>
      <c r="AK96" s="201">
        <f>IF($C96,IF($J96="Completado",0,IF($K96&lt;0,1,IF($K96&lt;=3,0.9,IF($K96&lt;=7,0.7,IF($K96&lt;=14,0.45,0.2))))),"")</f>
      </c>
      <c r="AL96" s="201">
        <f>IF($C96,IF($J96="Completado",0,MEDIAN(0,MAX(-$V96,$W96/30),1)),"")</f>
      </c>
      <c r="AM96" s="201">
        <f>IF($C96,IF($J96="Completado",0,IF($Z96,1,IF(AND($I96&lt;0.5,$K96&lt;=7),0.7,0.3))),"")</f>
      </c>
      <c r="AN96" s="202">
        <f>IF($C96,IF(OR($V96&lt;-0.2,$W96&gt;0),"ATRASO ","")&amp;IF($Z96,"BLOQUEO ","")&amp;IF($Y96&gt;8,"SOBRECARGA ","")&amp;IF($X96&gt;0,"DESVÍO-PLAN ",""),"")</f>
      </c>
    </row>
    <row r="97">
      <c r="A97" s="201">
        <f>ROW()</f>
      </c>
      <c r="B97" s="201">
        <f>ISTEXT('Proyecto Datos (OKR´s)'!$K97)</f>
      </c>
      <c r="C97" s="201">
        <f>AND(LEN('Proyecto Datos (OKR´s)'!$G97)&gt;0,NOT($B97),OR(ISNUMBER('Proyecto Datos (OKR´s)'!$F97),ISNUMBER('Proyecto Datos (OKR´s)'!$L97)))</f>
      </c>
      <c r="D97" s="202">
        <f>IF($C97,IFERROR(LOOKUP(2,1/((ISTEXT('Proyecto Datos (OKR´s)'!$K$7:$K97))*(LEN('Proyecto Datos (OKR´s)'!$G$7:$G97)&gt;0)),'Proyecto Datos (OKR´s)'!$G$7:$G97),""),"")</f>
      </c>
      <c r="E97" s="201">
        <f>IF($C97,'Proyecto Datos (OKR´s)'!$E97,"")</f>
      </c>
      <c r="F97" s="202">
        <f>IF($C97,'Proyecto Datos (OKR´s)'!$G97,"")</f>
      </c>
      <c r="G97" s="202">
        <f>IF($C97,IF('Proyecto Datos (OKR´s)'!$I97="","(Sin asignar)",'Proyecto Datos (OKR´s)'!$I97),"")</f>
      </c>
      <c r="H97" s="201">
        <f>IF($C97,IF(ISNUMBER('Proyecto Datos (OKR´s)'!$F97),'Proyecto Datos (OKR´s)'!$F97,'Proyecto Datos (OKR´s)'!$L97),"")</f>
      </c>
      <c r="I97" s="201">
        <f>IF($C97,'Proyecto Datos (OKR´s)'!$J97,"")</f>
      </c>
      <c r="J97" s="202">
        <f>IF($C97,IF($I97&gt;=1,"Completado",IF($H97&lt;TODAY(),"Vencido",IF(($H97-TODAY())&lt;='Entregas Próximas'!$M$3,"Próximo a vencer","En curso"))),"")</f>
      </c>
      <c r="K97" s="201">
        <f>IF($C97,$H97-TODAY(),"")</f>
      </c>
      <c r="L97" s="201">
        <f>IF($C97,$AD97*1000000+$H97+ROW()/100000,"")</f>
      </c>
      <c r="M97" s="201">
        <f>IF($C97,IF($AD97=9999,"(Sin sprint)",$AD97),"")</f>
      </c>
      <c r="N97" s="201">
        <f>IF($C97,IF('Proyecto Datos (OKR´s)'!$E97="",9999,'Proyecto Datos (OKR´s)'!$E97),"")</f>
      </c>
      <c r="O97" s="201">
        <f>IF($C97,"T"&amp;TEXT(ROW(),"000"),"")</f>
      </c>
      <c r="R97" s="201">
        <f>IF($C97,IF(ISNUMBER('Proyecto Datos (OKR´s)'!$L97),'Proyecto Datos (OKR´s)'!$L97,$H97),"")</f>
      </c>
      <c r="S97" s="201">
        <f>IF($C97,$R97-'Proyecto Datos (OKR´s)'!$K97+1,"")</f>
      </c>
      <c r="T97" s="201">
        <f>IF($C97,MAX(0,TODAY()-'Proyecto Datos (OKR´s)'!$K97),"")</f>
      </c>
      <c r="U97" s="201">
        <f>IF($C97,MEDIAN(0,(TODAY()-'Proyecto Datos (OKR´s)'!$K97)/MAX(1,$R97-'Proyecto Datos (OKR´s)'!$K97),1),"")</f>
      </c>
      <c r="V97" s="201">
        <f>IF($C97,$I97-$U97,"")</f>
      </c>
      <c r="W97" s="201">
        <f>IF($C97,IF($J97="Completado",0,MAX(0,TODAY()-$H97)),"")</f>
      </c>
      <c r="X97" s="201">
        <f>IF($C97,IF(ISNUMBER($H97),$R97-$H97,0),"")</f>
      </c>
      <c r="Y97" s="201">
        <f>IF($C97,COUNTIFS($G$7:$G$200,$G97,$J$7:$J$200,"&lt;&gt;Completado",$J$7:$J$200,"&lt;&gt;"),"")</f>
      </c>
      <c r="Z97" s="201">
        <f>IF($C97,AND($I97=0,'Proyecto Datos (OKR´s)'!$K97&lt;=TODAY(),$J97&lt;&gt;"Completado"),"")</f>
      </c>
      <c r="AA97" s="201">
        <f>IF($C97,ROUND(100*(0.35*$AK97+0.3*$AL97+0.2*$AM97+0.15*MEDIAN(0,($Y97-4)/8,1)),0),"")</f>
      </c>
      <c r="AB97" s="202">
        <f>IF($C97,IF($J97="Completado","—",IF($AA97&gt;=70,"Crítica",IF($AA97&gt;=45,"Alta",IF($AA97&gt;=25,"Media","Baja")))),"")</f>
      </c>
      <c r="AC97" s="202">
        <f>IF($C97,IF(LEN(TRIM($AN97))=0,"—",TRIM($AN97)),"")</f>
      </c>
      <c r="AD97" s="201">
        <f>IF($C97,IF($N97=9999,9999,IF($J97="Completado",$N97,MAX($N97,'Historial de Sprints'!$C$7))),"")</f>
      </c>
      <c r="AE97" s="201">
        <f>IF($C97,IF($AD97=9999,"(Sin sprint)",$AD97),"")</f>
      </c>
      <c r="AF97" s="201">
        <f>IF($C97,AND($N97&lt;&gt;9999,$AD97&lt;&gt;$N97),FALSE)</f>
      </c>
      <c r="AG97" s="201">
        <f>IF($AF97,'Historial de Sprints'!$C$5+$N97*'Historial de Sprints'!$C$6-1,"")</f>
      </c>
      <c r="AH97" s="202">
        <f>IF($AF97,"No completada al cierre del Sprint "&amp;$N97&amp;" -&gt; reasignada al Sprint "&amp;$AD97,"")</f>
      </c>
      <c r="AI97" s="201">
        <f>IF($AF97,$N97*100000+ROW(),"")</f>
      </c>
      <c r="AJ97" s="201">
        <f>IF($C97,$AA97*1000000-MEDIAN(-9999,$K97,9999)*100+(300-ROW()),"")</f>
      </c>
      <c r="AK97" s="201">
        <f>IF($C97,IF($J97="Completado",0,IF($K97&lt;0,1,IF($K97&lt;=3,0.9,IF($K97&lt;=7,0.7,IF($K97&lt;=14,0.45,0.2))))),"")</f>
      </c>
      <c r="AL97" s="201">
        <f>IF($C97,IF($J97="Completado",0,MEDIAN(0,MAX(-$V97,$W97/30),1)),"")</f>
      </c>
      <c r="AM97" s="201">
        <f>IF($C97,IF($J97="Completado",0,IF($Z97,1,IF(AND($I97&lt;0.5,$K97&lt;=7),0.7,0.3))),"")</f>
      </c>
      <c r="AN97" s="202">
        <f>IF($C97,IF(OR($V97&lt;-0.2,$W97&gt;0),"ATRASO ","")&amp;IF($Z97,"BLOQUEO ","")&amp;IF($Y97&gt;8,"SOBRECARGA ","")&amp;IF($X97&gt;0,"DESVÍO-PLAN ",""),"")</f>
      </c>
    </row>
    <row r="98">
      <c r="A98" s="201">
        <f>ROW()</f>
      </c>
      <c r="B98" s="201">
        <f>ISTEXT('Proyecto Datos (OKR´s)'!$K98)</f>
      </c>
      <c r="C98" s="201">
        <f>AND(LEN('Proyecto Datos (OKR´s)'!$G98)&gt;0,NOT($B98),OR(ISNUMBER('Proyecto Datos (OKR´s)'!$F98),ISNUMBER('Proyecto Datos (OKR´s)'!$L98)))</f>
      </c>
      <c r="D98" s="202">
        <f>IF($C98,IFERROR(LOOKUP(2,1/((ISTEXT('Proyecto Datos (OKR´s)'!$K$7:$K98))*(LEN('Proyecto Datos (OKR´s)'!$G$7:$G98)&gt;0)),'Proyecto Datos (OKR´s)'!$G$7:$G98),""),"")</f>
      </c>
      <c r="E98" s="201">
        <f>IF($C98,'Proyecto Datos (OKR´s)'!$E98,"")</f>
      </c>
      <c r="F98" s="202">
        <f>IF($C98,'Proyecto Datos (OKR´s)'!$G98,"")</f>
      </c>
      <c r="G98" s="202">
        <f>IF($C98,IF('Proyecto Datos (OKR´s)'!$I98="","(Sin asignar)",'Proyecto Datos (OKR´s)'!$I98),"")</f>
      </c>
      <c r="H98" s="201">
        <f>IF($C98,IF(ISNUMBER('Proyecto Datos (OKR´s)'!$F98),'Proyecto Datos (OKR´s)'!$F98,'Proyecto Datos (OKR´s)'!$L98),"")</f>
      </c>
      <c r="I98" s="201">
        <f>IF($C98,'Proyecto Datos (OKR´s)'!$J98,"")</f>
      </c>
      <c r="J98" s="202">
        <f>IF($C98,IF($I98&gt;=1,"Completado",IF($H98&lt;TODAY(),"Vencido",IF(($H98-TODAY())&lt;='Entregas Próximas'!$M$3,"Próximo a vencer","En curso"))),"")</f>
      </c>
      <c r="K98" s="201">
        <f>IF($C98,$H98-TODAY(),"")</f>
      </c>
      <c r="L98" s="201">
        <f>IF($C98,$AD98*1000000+$H98+ROW()/100000,"")</f>
      </c>
      <c r="M98" s="201">
        <f>IF($C98,IF($AD98=9999,"(Sin sprint)",$AD98),"")</f>
      </c>
      <c r="N98" s="201">
        <f>IF($C98,IF('Proyecto Datos (OKR´s)'!$E98="",9999,'Proyecto Datos (OKR´s)'!$E98),"")</f>
      </c>
      <c r="O98" s="201">
        <f>IF($C98,"T"&amp;TEXT(ROW(),"000"),"")</f>
      </c>
      <c r="R98" s="201">
        <f>IF($C98,IF(ISNUMBER('Proyecto Datos (OKR´s)'!$L98),'Proyecto Datos (OKR´s)'!$L98,$H98),"")</f>
      </c>
      <c r="S98" s="201">
        <f>IF($C98,$R98-'Proyecto Datos (OKR´s)'!$K98+1,"")</f>
      </c>
      <c r="T98" s="201">
        <f>IF($C98,MAX(0,TODAY()-'Proyecto Datos (OKR´s)'!$K98),"")</f>
      </c>
      <c r="U98" s="201">
        <f>IF($C98,MEDIAN(0,(TODAY()-'Proyecto Datos (OKR´s)'!$K98)/MAX(1,$R98-'Proyecto Datos (OKR´s)'!$K98),1),"")</f>
      </c>
      <c r="V98" s="201">
        <f>IF($C98,$I98-$U98,"")</f>
      </c>
      <c r="W98" s="201">
        <f>IF($C98,IF($J98="Completado",0,MAX(0,TODAY()-$H98)),"")</f>
      </c>
      <c r="X98" s="201">
        <f>IF($C98,IF(ISNUMBER($H98),$R98-$H98,0),"")</f>
      </c>
      <c r="Y98" s="201">
        <f>IF($C98,COUNTIFS($G$7:$G$200,$G98,$J$7:$J$200,"&lt;&gt;Completado",$J$7:$J$200,"&lt;&gt;"),"")</f>
      </c>
      <c r="Z98" s="201">
        <f>IF($C98,AND($I98=0,'Proyecto Datos (OKR´s)'!$K98&lt;=TODAY(),$J98&lt;&gt;"Completado"),"")</f>
      </c>
      <c r="AA98" s="201">
        <f>IF($C98,ROUND(100*(0.35*$AK98+0.3*$AL98+0.2*$AM98+0.15*MEDIAN(0,($Y98-4)/8,1)),0),"")</f>
      </c>
      <c r="AB98" s="202">
        <f>IF($C98,IF($J98="Completado","—",IF($AA98&gt;=70,"Crítica",IF($AA98&gt;=45,"Alta",IF($AA98&gt;=25,"Media","Baja")))),"")</f>
      </c>
      <c r="AC98" s="202">
        <f>IF($C98,IF(LEN(TRIM($AN98))=0,"—",TRIM($AN98)),"")</f>
      </c>
      <c r="AD98" s="201">
        <f>IF($C98,IF($N98=9999,9999,IF($J98="Completado",$N98,MAX($N98,'Historial de Sprints'!$C$7))),"")</f>
      </c>
      <c r="AE98" s="201">
        <f>IF($C98,IF($AD98=9999,"(Sin sprint)",$AD98),"")</f>
      </c>
      <c r="AF98" s="201">
        <f>IF($C98,AND($N98&lt;&gt;9999,$AD98&lt;&gt;$N98),FALSE)</f>
      </c>
      <c r="AG98" s="201">
        <f>IF($AF98,'Historial de Sprints'!$C$5+$N98*'Historial de Sprints'!$C$6-1,"")</f>
      </c>
      <c r="AH98" s="202">
        <f>IF($AF98,"No completada al cierre del Sprint "&amp;$N98&amp;" -&gt; reasignada al Sprint "&amp;$AD98,"")</f>
      </c>
      <c r="AI98" s="201">
        <f>IF($AF98,$N98*100000+ROW(),"")</f>
      </c>
      <c r="AJ98" s="201">
        <f>IF($C98,$AA98*1000000-MEDIAN(-9999,$K98,9999)*100+(300-ROW()),"")</f>
      </c>
      <c r="AK98" s="201">
        <f>IF($C98,IF($J98="Completado",0,IF($K98&lt;0,1,IF($K98&lt;=3,0.9,IF($K98&lt;=7,0.7,IF($K98&lt;=14,0.45,0.2))))),"")</f>
      </c>
      <c r="AL98" s="201">
        <f>IF($C98,IF($J98="Completado",0,MEDIAN(0,MAX(-$V98,$W98/30),1)),"")</f>
      </c>
      <c r="AM98" s="201">
        <f>IF($C98,IF($J98="Completado",0,IF($Z98,1,IF(AND($I98&lt;0.5,$K98&lt;=7),0.7,0.3))),"")</f>
      </c>
      <c r="AN98" s="202">
        <f>IF($C98,IF(OR($V98&lt;-0.2,$W98&gt;0),"ATRASO ","")&amp;IF($Z98,"BLOQUEO ","")&amp;IF($Y98&gt;8,"SOBRECARGA ","")&amp;IF($X98&gt;0,"DESVÍO-PLAN ",""),"")</f>
      </c>
    </row>
    <row r="99">
      <c r="A99" s="201">
        <f>ROW()</f>
      </c>
      <c r="B99" s="201">
        <f>ISTEXT('Proyecto Datos (OKR´s)'!$K99)</f>
      </c>
      <c r="C99" s="201">
        <f>AND(LEN('Proyecto Datos (OKR´s)'!$G99)&gt;0,NOT($B99),OR(ISNUMBER('Proyecto Datos (OKR´s)'!$F99),ISNUMBER('Proyecto Datos (OKR´s)'!$L99)))</f>
      </c>
      <c r="D99" s="202">
        <f>IF($C99,IFERROR(LOOKUP(2,1/((ISTEXT('Proyecto Datos (OKR´s)'!$K$7:$K99))*(LEN('Proyecto Datos (OKR´s)'!$G$7:$G99)&gt;0)),'Proyecto Datos (OKR´s)'!$G$7:$G99),""),"")</f>
      </c>
      <c r="E99" s="201">
        <f>IF($C99,'Proyecto Datos (OKR´s)'!$E99,"")</f>
      </c>
      <c r="F99" s="202">
        <f>IF($C99,'Proyecto Datos (OKR´s)'!$G99,"")</f>
      </c>
      <c r="G99" s="202">
        <f>IF($C99,IF('Proyecto Datos (OKR´s)'!$I99="","(Sin asignar)",'Proyecto Datos (OKR´s)'!$I99),"")</f>
      </c>
      <c r="H99" s="201">
        <f>IF($C99,IF(ISNUMBER('Proyecto Datos (OKR´s)'!$F99),'Proyecto Datos (OKR´s)'!$F99,'Proyecto Datos (OKR´s)'!$L99),"")</f>
      </c>
      <c r="I99" s="201">
        <f>IF($C99,'Proyecto Datos (OKR´s)'!$J99,"")</f>
      </c>
      <c r="J99" s="202">
        <f>IF($C99,IF($I99&gt;=1,"Completado",IF($H99&lt;TODAY(),"Vencido",IF(($H99-TODAY())&lt;='Entregas Próximas'!$M$3,"Próximo a vencer","En curso"))),"")</f>
      </c>
      <c r="K99" s="201">
        <f>IF($C99,$H99-TODAY(),"")</f>
      </c>
      <c r="L99" s="201">
        <f>IF($C99,$AD99*1000000+$H99+ROW()/100000,"")</f>
      </c>
      <c r="M99" s="201">
        <f>IF($C99,IF($AD99=9999,"(Sin sprint)",$AD99),"")</f>
      </c>
      <c r="N99" s="201">
        <f>IF($C99,IF('Proyecto Datos (OKR´s)'!$E99="",9999,'Proyecto Datos (OKR´s)'!$E99),"")</f>
      </c>
      <c r="O99" s="201">
        <f>IF($C99,"T"&amp;TEXT(ROW(),"000"),"")</f>
      </c>
      <c r="R99" s="201">
        <f>IF($C99,IF(ISNUMBER('Proyecto Datos (OKR´s)'!$L99),'Proyecto Datos (OKR´s)'!$L99,$H99),"")</f>
      </c>
      <c r="S99" s="201">
        <f>IF($C99,$R99-'Proyecto Datos (OKR´s)'!$K99+1,"")</f>
      </c>
      <c r="T99" s="201">
        <f>IF($C99,MAX(0,TODAY()-'Proyecto Datos (OKR´s)'!$K99),"")</f>
      </c>
      <c r="U99" s="201">
        <f>IF($C99,MEDIAN(0,(TODAY()-'Proyecto Datos (OKR´s)'!$K99)/MAX(1,$R99-'Proyecto Datos (OKR´s)'!$K99),1),"")</f>
      </c>
      <c r="V99" s="201">
        <f>IF($C99,$I99-$U99,"")</f>
      </c>
      <c r="W99" s="201">
        <f>IF($C99,IF($J99="Completado",0,MAX(0,TODAY()-$H99)),"")</f>
      </c>
      <c r="X99" s="201">
        <f>IF($C99,IF(ISNUMBER($H99),$R99-$H99,0),"")</f>
      </c>
      <c r="Y99" s="201">
        <f>IF($C99,COUNTIFS($G$7:$G$200,$G99,$J$7:$J$200,"&lt;&gt;Completado",$J$7:$J$200,"&lt;&gt;"),"")</f>
      </c>
      <c r="Z99" s="201">
        <f>IF($C99,AND($I99=0,'Proyecto Datos (OKR´s)'!$K99&lt;=TODAY(),$J99&lt;&gt;"Completado"),"")</f>
      </c>
      <c r="AA99" s="201">
        <f>IF($C99,ROUND(100*(0.35*$AK99+0.3*$AL99+0.2*$AM99+0.15*MEDIAN(0,($Y99-4)/8,1)),0),"")</f>
      </c>
      <c r="AB99" s="202">
        <f>IF($C99,IF($J99="Completado","—",IF($AA99&gt;=70,"Crítica",IF($AA99&gt;=45,"Alta",IF($AA99&gt;=25,"Media","Baja")))),"")</f>
      </c>
      <c r="AC99" s="202">
        <f>IF($C99,IF(LEN(TRIM($AN99))=0,"—",TRIM($AN99)),"")</f>
      </c>
      <c r="AD99" s="201">
        <f>IF($C99,IF($N99=9999,9999,IF($J99="Completado",$N99,MAX($N99,'Historial de Sprints'!$C$7))),"")</f>
      </c>
      <c r="AE99" s="201">
        <f>IF($C99,IF($AD99=9999,"(Sin sprint)",$AD99),"")</f>
      </c>
      <c r="AF99" s="201">
        <f>IF($C99,AND($N99&lt;&gt;9999,$AD99&lt;&gt;$N99),FALSE)</f>
      </c>
      <c r="AG99" s="201">
        <f>IF($AF99,'Historial de Sprints'!$C$5+$N99*'Historial de Sprints'!$C$6-1,"")</f>
      </c>
      <c r="AH99" s="202">
        <f>IF($AF99,"No completada al cierre del Sprint "&amp;$N99&amp;" -&gt; reasignada al Sprint "&amp;$AD99,"")</f>
      </c>
      <c r="AI99" s="201">
        <f>IF($AF99,$N99*100000+ROW(),"")</f>
      </c>
      <c r="AJ99" s="201">
        <f>IF($C99,$AA99*1000000-MEDIAN(-9999,$K99,9999)*100+(300-ROW()),"")</f>
      </c>
      <c r="AK99" s="201">
        <f>IF($C99,IF($J99="Completado",0,IF($K99&lt;0,1,IF($K99&lt;=3,0.9,IF($K99&lt;=7,0.7,IF($K99&lt;=14,0.45,0.2))))),"")</f>
      </c>
      <c r="AL99" s="201">
        <f>IF($C99,IF($J99="Completado",0,MEDIAN(0,MAX(-$V99,$W99/30),1)),"")</f>
      </c>
      <c r="AM99" s="201">
        <f>IF($C99,IF($J99="Completado",0,IF($Z99,1,IF(AND($I99&lt;0.5,$K99&lt;=7),0.7,0.3))),"")</f>
      </c>
      <c r="AN99" s="202">
        <f>IF($C99,IF(OR($V99&lt;-0.2,$W99&gt;0),"ATRASO ","")&amp;IF($Z99,"BLOQUEO ","")&amp;IF($Y99&gt;8,"SOBRECARGA ","")&amp;IF($X99&gt;0,"DESVÍO-PLAN ",""),"")</f>
      </c>
    </row>
    <row r="100">
      <c r="A100" s="201">
        <f>ROW()</f>
      </c>
      <c r="B100" s="201">
        <f>ISTEXT('Proyecto Datos (OKR´s)'!$K100)</f>
      </c>
      <c r="C100" s="201">
        <f>AND(LEN('Proyecto Datos (OKR´s)'!$G100)&gt;0,NOT($B100),OR(ISNUMBER('Proyecto Datos (OKR´s)'!$F100),ISNUMBER('Proyecto Datos (OKR´s)'!$L100)))</f>
      </c>
      <c r="D100" s="202">
        <f>IF($C100,IFERROR(LOOKUP(2,1/((ISTEXT('Proyecto Datos (OKR´s)'!$K$7:$K100))*(LEN('Proyecto Datos (OKR´s)'!$G$7:$G100)&gt;0)),'Proyecto Datos (OKR´s)'!$G$7:$G100),""),"")</f>
      </c>
      <c r="E100" s="201">
        <f>IF($C100,'Proyecto Datos (OKR´s)'!$E100,"")</f>
      </c>
      <c r="F100" s="202">
        <f>IF($C100,'Proyecto Datos (OKR´s)'!$G100,"")</f>
      </c>
      <c r="G100" s="202">
        <f>IF($C100,IF('Proyecto Datos (OKR´s)'!$I100="","(Sin asignar)",'Proyecto Datos (OKR´s)'!$I100),"")</f>
      </c>
      <c r="H100" s="201">
        <f>IF($C100,IF(ISNUMBER('Proyecto Datos (OKR´s)'!$F100),'Proyecto Datos (OKR´s)'!$F100,'Proyecto Datos (OKR´s)'!$L100),"")</f>
      </c>
      <c r="I100" s="201">
        <f>IF($C100,'Proyecto Datos (OKR´s)'!$J100,"")</f>
      </c>
      <c r="J100" s="202">
        <f>IF($C100,IF($I100&gt;=1,"Completado",IF($H100&lt;TODAY(),"Vencido",IF(($H100-TODAY())&lt;='Entregas Próximas'!$M$3,"Próximo a vencer","En curso"))),"")</f>
      </c>
      <c r="K100" s="201">
        <f>IF($C100,$H100-TODAY(),"")</f>
      </c>
      <c r="L100" s="201">
        <f>IF($C100,$AD100*1000000+$H100+ROW()/100000,"")</f>
      </c>
      <c r="M100" s="201">
        <f>IF($C100,IF($AD100=9999,"(Sin sprint)",$AD100),"")</f>
      </c>
      <c r="N100" s="201">
        <f>IF($C100,IF('Proyecto Datos (OKR´s)'!$E100="",9999,'Proyecto Datos (OKR´s)'!$E100),"")</f>
      </c>
      <c r="O100" s="201">
        <f>IF($C100,"T"&amp;TEXT(ROW(),"000"),"")</f>
      </c>
      <c r="R100" s="201">
        <f>IF($C100,IF(ISNUMBER('Proyecto Datos (OKR´s)'!$L100),'Proyecto Datos (OKR´s)'!$L100,$H100),"")</f>
      </c>
      <c r="S100" s="201">
        <f>IF($C100,$R100-'Proyecto Datos (OKR´s)'!$K100+1,"")</f>
      </c>
      <c r="T100" s="201">
        <f>IF($C100,MAX(0,TODAY()-'Proyecto Datos (OKR´s)'!$K100),"")</f>
      </c>
      <c r="U100" s="201">
        <f>IF($C100,MEDIAN(0,(TODAY()-'Proyecto Datos (OKR´s)'!$K100)/MAX(1,$R100-'Proyecto Datos (OKR´s)'!$K100),1),"")</f>
      </c>
      <c r="V100" s="201">
        <f>IF($C100,$I100-$U100,"")</f>
      </c>
      <c r="W100" s="201">
        <f>IF($C100,IF($J100="Completado",0,MAX(0,TODAY()-$H100)),"")</f>
      </c>
      <c r="X100" s="201">
        <f>IF($C100,IF(ISNUMBER($H100),$R100-$H100,0),"")</f>
      </c>
      <c r="Y100" s="201">
        <f>IF($C100,COUNTIFS($G$7:$G$200,$G100,$J$7:$J$200,"&lt;&gt;Completado",$J$7:$J$200,"&lt;&gt;"),"")</f>
      </c>
      <c r="Z100" s="201">
        <f>IF($C100,AND($I100=0,'Proyecto Datos (OKR´s)'!$K100&lt;=TODAY(),$J100&lt;&gt;"Completado"),"")</f>
      </c>
      <c r="AA100" s="201">
        <f>IF($C100,ROUND(100*(0.35*$AK100+0.3*$AL100+0.2*$AM100+0.15*MEDIAN(0,($Y100-4)/8,1)),0),"")</f>
      </c>
      <c r="AB100" s="202">
        <f>IF($C100,IF($J100="Completado","—",IF($AA100&gt;=70,"Crítica",IF($AA100&gt;=45,"Alta",IF($AA100&gt;=25,"Media","Baja")))),"")</f>
      </c>
      <c r="AC100" s="202">
        <f>IF($C100,IF(LEN(TRIM($AN100))=0,"—",TRIM($AN100)),"")</f>
      </c>
      <c r="AD100" s="201">
        <f>IF($C100,IF($N100=9999,9999,IF($J100="Completado",$N100,MAX($N100,'Historial de Sprints'!$C$7))),"")</f>
      </c>
      <c r="AE100" s="201">
        <f>IF($C100,IF($AD100=9999,"(Sin sprint)",$AD100),"")</f>
      </c>
      <c r="AF100" s="201">
        <f>IF($C100,AND($N100&lt;&gt;9999,$AD100&lt;&gt;$N100),FALSE)</f>
      </c>
      <c r="AG100" s="201">
        <f>IF($AF100,'Historial de Sprints'!$C$5+$N100*'Historial de Sprints'!$C$6-1,"")</f>
      </c>
      <c r="AH100" s="202">
        <f>IF($AF100,"No completada al cierre del Sprint "&amp;$N100&amp;" -&gt; reasignada al Sprint "&amp;$AD100,"")</f>
      </c>
      <c r="AI100" s="201">
        <f>IF($AF100,$N100*100000+ROW(),"")</f>
      </c>
      <c r="AJ100" s="201">
        <f>IF($C100,$AA100*1000000-MEDIAN(-9999,$K100,9999)*100+(300-ROW()),"")</f>
      </c>
      <c r="AK100" s="201">
        <f>IF($C100,IF($J100="Completado",0,IF($K100&lt;0,1,IF($K100&lt;=3,0.9,IF($K100&lt;=7,0.7,IF($K100&lt;=14,0.45,0.2))))),"")</f>
      </c>
      <c r="AL100" s="201">
        <f>IF($C100,IF($J100="Completado",0,MEDIAN(0,MAX(-$V100,$W100/30),1)),"")</f>
      </c>
      <c r="AM100" s="201">
        <f>IF($C100,IF($J100="Completado",0,IF($Z100,1,IF(AND($I100&lt;0.5,$K100&lt;=7),0.7,0.3))),"")</f>
      </c>
      <c r="AN100" s="202">
        <f>IF($C100,IF(OR($V100&lt;-0.2,$W100&gt;0),"ATRASO ","")&amp;IF($Z100,"BLOQUEO ","")&amp;IF($Y100&gt;8,"SOBRECARGA ","")&amp;IF($X100&gt;0,"DESVÍO-PLAN ",""),"")</f>
      </c>
    </row>
    <row r="101">
      <c r="A101" s="201">
        <f>ROW()</f>
      </c>
      <c r="B101" s="201">
        <f>ISTEXT('Proyecto Datos (OKR´s)'!$K101)</f>
      </c>
      <c r="C101" s="201">
        <f>AND(LEN('Proyecto Datos (OKR´s)'!$G101)&gt;0,NOT($B101),OR(ISNUMBER('Proyecto Datos (OKR´s)'!$F101),ISNUMBER('Proyecto Datos (OKR´s)'!$L101)))</f>
      </c>
      <c r="D101" s="202">
        <f>IF($C101,IFERROR(LOOKUP(2,1/((ISTEXT('Proyecto Datos (OKR´s)'!$K$7:$K101))*(LEN('Proyecto Datos (OKR´s)'!$G$7:$G101)&gt;0)),'Proyecto Datos (OKR´s)'!$G$7:$G101),""),"")</f>
      </c>
      <c r="E101" s="201">
        <f>IF($C101,'Proyecto Datos (OKR´s)'!$E101,"")</f>
      </c>
      <c r="F101" s="202">
        <f>IF($C101,'Proyecto Datos (OKR´s)'!$G101,"")</f>
      </c>
      <c r="G101" s="202">
        <f>IF($C101,IF('Proyecto Datos (OKR´s)'!$I101="","(Sin asignar)",'Proyecto Datos (OKR´s)'!$I101),"")</f>
      </c>
      <c r="H101" s="201">
        <f>IF($C101,IF(ISNUMBER('Proyecto Datos (OKR´s)'!$F101),'Proyecto Datos (OKR´s)'!$F101,'Proyecto Datos (OKR´s)'!$L101),"")</f>
      </c>
      <c r="I101" s="201">
        <f>IF($C101,'Proyecto Datos (OKR´s)'!$J101,"")</f>
      </c>
      <c r="J101" s="202">
        <f>IF($C101,IF($I101&gt;=1,"Completado",IF($H101&lt;TODAY(),"Vencido",IF(($H101-TODAY())&lt;='Entregas Próximas'!$M$3,"Próximo a vencer","En curso"))),"")</f>
      </c>
      <c r="K101" s="201">
        <f>IF($C101,$H101-TODAY(),"")</f>
      </c>
      <c r="L101" s="201">
        <f>IF($C101,$AD101*1000000+$H101+ROW()/100000,"")</f>
      </c>
      <c r="M101" s="201">
        <f>IF($C101,IF($AD101=9999,"(Sin sprint)",$AD101),"")</f>
      </c>
      <c r="N101" s="201">
        <f>IF($C101,IF('Proyecto Datos (OKR´s)'!$E101="",9999,'Proyecto Datos (OKR´s)'!$E101),"")</f>
      </c>
      <c r="O101" s="201">
        <f>IF($C101,"T"&amp;TEXT(ROW(),"000"),"")</f>
      </c>
      <c r="R101" s="201">
        <f>IF($C101,IF(ISNUMBER('Proyecto Datos (OKR´s)'!$L101),'Proyecto Datos (OKR´s)'!$L101,$H101),"")</f>
      </c>
      <c r="S101" s="201">
        <f>IF($C101,$R101-'Proyecto Datos (OKR´s)'!$K101+1,"")</f>
      </c>
      <c r="T101" s="201">
        <f>IF($C101,MAX(0,TODAY()-'Proyecto Datos (OKR´s)'!$K101),"")</f>
      </c>
      <c r="U101" s="201">
        <f>IF($C101,MEDIAN(0,(TODAY()-'Proyecto Datos (OKR´s)'!$K101)/MAX(1,$R101-'Proyecto Datos (OKR´s)'!$K101),1),"")</f>
      </c>
      <c r="V101" s="201">
        <f>IF($C101,$I101-$U101,"")</f>
      </c>
      <c r="W101" s="201">
        <f>IF($C101,IF($J101="Completado",0,MAX(0,TODAY()-$H101)),"")</f>
      </c>
      <c r="X101" s="201">
        <f>IF($C101,IF(ISNUMBER($H101),$R101-$H101,0),"")</f>
      </c>
      <c r="Y101" s="201">
        <f>IF($C101,COUNTIFS($G$7:$G$200,$G101,$J$7:$J$200,"&lt;&gt;Completado",$J$7:$J$200,"&lt;&gt;"),"")</f>
      </c>
      <c r="Z101" s="201">
        <f>IF($C101,AND($I101=0,'Proyecto Datos (OKR´s)'!$K101&lt;=TODAY(),$J101&lt;&gt;"Completado"),"")</f>
      </c>
      <c r="AA101" s="201">
        <f>IF($C101,ROUND(100*(0.35*$AK101+0.3*$AL101+0.2*$AM101+0.15*MEDIAN(0,($Y101-4)/8,1)),0),"")</f>
      </c>
      <c r="AB101" s="202">
        <f>IF($C101,IF($J101="Completado","—",IF($AA101&gt;=70,"Crítica",IF($AA101&gt;=45,"Alta",IF($AA101&gt;=25,"Media","Baja")))),"")</f>
      </c>
      <c r="AC101" s="202">
        <f>IF($C101,IF(LEN(TRIM($AN101))=0,"—",TRIM($AN101)),"")</f>
      </c>
      <c r="AD101" s="201">
        <f>IF($C101,IF($N101=9999,9999,IF($J101="Completado",$N101,MAX($N101,'Historial de Sprints'!$C$7))),"")</f>
      </c>
      <c r="AE101" s="201">
        <f>IF($C101,IF($AD101=9999,"(Sin sprint)",$AD101),"")</f>
      </c>
      <c r="AF101" s="201">
        <f>IF($C101,AND($N101&lt;&gt;9999,$AD101&lt;&gt;$N101),FALSE)</f>
      </c>
      <c r="AG101" s="201">
        <f>IF($AF101,'Historial de Sprints'!$C$5+$N101*'Historial de Sprints'!$C$6-1,"")</f>
      </c>
      <c r="AH101" s="202">
        <f>IF($AF101,"No completada al cierre del Sprint "&amp;$N101&amp;" -&gt; reasignada al Sprint "&amp;$AD101,"")</f>
      </c>
      <c r="AI101" s="201">
        <f>IF($AF101,$N101*100000+ROW(),"")</f>
      </c>
      <c r="AJ101" s="201">
        <f>IF($C101,$AA101*1000000-MEDIAN(-9999,$K101,9999)*100+(300-ROW()),"")</f>
      </c>
      <c r="AK101" s="201">
        <f>IF($C101,IF($J101="Completado",0,IF($K101&lt;0,1,IF($K101&lt;=3,0.9,IF($K101&lt;=7,0.7,IF($K101&lt;=14,0.45,0.2))))),"")</f>
      </c>
      <c r="AL101" s="201">
        <f>IF($C101,IF($J101="Completado",0,MEDIAN(0,MAX(-$V101,$W101/30),1)),"")</f>
      </c>
      <c r="AM101" s="201">
        <f>IF($C101,IF($J101="Completado",0,IF($Z101,1,IF(AND($I101&lt;0.5,$K101&lt;=7),0.7,0.3))),"")</f>
      </c>
      <c r="AN101" s="202">
        <f>IF($C101,IF(OR($V101&lt;-0.2,$W101&gt;0),"ATRASO ","")&amp;IF($Z101,"BLOQUEO ","")&amp;IF($Y101&gt;8,"SOBRECARGA ","")&amp;IF($X101&gt;0,"DESVÍO-PLAN ",""),"")</f>
      </c>
    </row>
    <row r="102">
      <c r="A102" s="201">
        <f>ROW()</f>
      </c>
      <c r="B102" s="201">
        <f>ISTEXT('Proyecto Datos (OKR´s)'!$K102)</f>
      </c>
      <c r="C102" s="201">
        <f>AND(LEN('Proyecto Datos (OKR´s)'!$G102)&gt;0,NOT($B102),OR(ISNUMBER('Proyecto Datos (OKR´s)'!$F102),ISNUMBER('Proyecto Datos (OKR´s)'!$L102)))</f>
      </c>
      <c r="D102" s="202">
        <f>IF($C102,IFERROR(LOOKUP(2,1/((ISTEXT('Proyecto Datos (OKR´s)'!$K$7:$K102))*(LEN('Proyecto Datos (OKR´s)'!$G$7:$G102)&gt;0)),'Proyecto Datos (OKR´s)'!$G$7:$G102),""),"")</f>
      </c>
      <c r="E102" s="201">
        <f>IF($C102,'Proyecto Datos (OKR´s)'!$E102,"")</f>
      </c>
      <c r="F102" s="202">
        <f>IF($C102,'Proyecto Datos (OKR´s)'!$G102,"")</f>
      </c>
      <c r="G102" s="202">
        <f>IF($C102,IF('Proyecto Datos (OKR´s)'!$I102="","(Sin asignar)",'Proyecto Datos (OKR´s)'!$I102),"")</f>
      </c>
      <c r="H102" s="201">
        <f>IF($C102,IF(ISNUMBER('Proyecto Datos (OKR´s)'!$F102),'Proyecto Datos (OKR´s)'!$F102,'Proyecto Datos (OKR´s)'!$L102),"")</f>
      </c>
      <c r="I102" s="201">
        <f>IF($C102,'Proyecto Datos (OKR´s)'!$J102,"")</f>
      </c>
      <c r="J102" s="202">
        <f>IF($C102,IF($I102&gt;=1,"Completado",IF($H102&lt;TODAY(),"Vencido",IF(($H102-TODAY())&lt;='Entregas Próximas'!$M$3,"Próximo a vencer","En curso"))),"")</f>
      </c>
      <c r="K102" s="201">
        <f>IF($C102,$H102-TODAY(),"")</f>
      </c>
      <c r="L102" s="201">
        <f>IF($C102,$AD102*1000000+$H102+ROW()/100000,"")</f>
      </c>
      <c r="M102" s="201">
        <f>IF($C102,IF($AD102=9999,"(Sin sprint)",$AD102),"")</f>
      </c>
      <c r="N102" s="201">
        <f>IF($C102,IF('Proyecto Datos (OKR´s)'!$E102="",9999,'Proyecto Datos (OKR´s)'!$E102),"")</f>
      </c>
      <c r="O102" s="201">
        <f>IF($C102,"T"&amp;TEXT(ROW(),"000"),"")</f>
      </c>
      <c r="R102" s="201">
        <f>IF($C102,IF(ISNUMBER('Proyecto Datos (OKR´s)'!$L102),'Proyecto Datos (OKR´s)'!$L102,$H102),"")</f>
      </c>
      <c r="S102" s="201">
        <f>IF($C102,$R102-'Proyecto Datos (OKR´s)'!$K102+1,"")</f>
      </c>
      <c r="T102" s="201">
        <f>IF($C102,MAX(0,TODAY()-'Proyecto Datos (OKR´s)'!$K102),"")</f>
      </c>
      <c r="U102" s="201">
        <f>IF($C102,MEDIAN(0,(TODAY()-'Proyecto Datos (OKR´s)'!$K102)/MAX(1,$R102-'Proyecto Datos (OKR´s)'!$K102),1),"")</f>
      </c>
      <c r="V102" s="201">
        <f>IF($C102,$I102-$U102,"")</f>
      </c>
      <c r="W102" s="201">
        <f>IF($C102,IF($J102="Completado",0,MAX(0,TODAY()-$H102)),"")</f>
      </c>
      <c r="X102" s="201">
        <f>IF($C102,IF(ISNUMBER($H102),$R102-$H102,0),"")</f>
      </c>
      <c r="Y102" s="201">
        <f>IF($C102,COUNTIFS($G$7:$G$200,$G102,$J$7:$J$200,"&lt;&gt;Completado",$J$7:$J$200,"&lt;&gt;"),"")</f>
      </c>
      <c r="Z102" s="201">
        <f>IF($C102,AND($I102=0,'Proyecto Datos (OKR´s)'!$K102&lt;=TODAY(),$J102&lt;&gt;"Completado"),"")</f>
      </c>
      <c r="AA102" s="201">
        <f>IF($C102,ROUND(100*(0.35*$AK102+0.3*$AL102+0.2*$AM102+0.15*MEDIAN(0,($Y102-4)/8,1)),0),"")</f>
      </c>
      <c r="AB102" s="202">
        <f>IF($C102,IF($J102="Completado","—",IF($AA102&gt;=70,"Crítica",IF($AA102&gt;=45,"Alta",IF($AA102&gt;=25,"Media","Baja")))),"")</f>
      </c>
      <c r="AC102" s="202">
        <f>IF($C102,IF(LEN(TRIM($AN102))=0,"—",TRIM($AN102)),"")</f>
      </c>
      <c r="AD102" s="201">
        <f>IF($C102,IF($N102=9999,9999,IF($J102="Completado",$N102,MAX($N102,'Historial de Sprints'!$C$7))),"")</f>
      </c>
      <c r="AE102" s="201">
        <f>IF($C102,IF($AD102=9999,"(Sin sprint)",$AD102),"")</f>
      </c>
      <c r="AF102" s="201">
        <f>IF($C102,AND($N102&lt;&gt;9999,$AD102&lt;&gt;$N102),FALSE)</f>
      </c>
      <c r="AG102" s="201">
        <f>IF($AF102,'Historial de Sprints'!$C$5+$N102*'Historial de Sprints'!$C$6-1,"")</f>
      </c>
      <c r="AH102" s="202">
        <f>IF($AF102,"No completada al cierre del Sprint "&amp;$N102&amp;" -&gt; reasignada al Sprint "&amp;$AD102,"")</f>
      </c>
      <c r="AI102" s="201">
        <f>IF($AF102,$N102*100000+ROW(),"")</f>
      </c>
      <c r="AJ102" s="201">
        <f>IF($C102,$AA102*1000000-MEDIAN(-9999,$K102,9999)*100+(300-ROW()),"")</f>
      </c>
      <c r="AK102" s="201">
        <f>IF($C102,IF($J102="Completado",0,IF($K102&lt;0,1,IF($K102&lt;=3,0.9,IF($K102&lt;=7,0.7,IF($K102&lt;=14,0.45,0.2))))),"")</f>
      </c>
      <c r="AL102" s="201">
        <f>IF($C102,IF($J102="Completado",0,MEDIAN(0,MAX(-$V102,$W102/30),1)),"")</f>
      </c>
      <c r="AM102" s="201">
        <f>IF($C102,IF($J102="Completado",0,IF($Z102,1,IF(AND($I102&lt;0.5,$K102&lt;=7),0.7,0.3))),"")</f>
      </c>
      <c r="AN102" s="202">
        <f>IF($C102,IF(OR($V102&lt;-0.2,$W102&gt;0),"ATRASO ","")&amp;IF($Z102,"BLOQUEO ","")&amp;IF($Y102&gt;8,"SOBRECARGA ","")&amp;IF($X102&gt;0,"DESVÍO-PLAN ",""),"")</f>
      </c>
    </row>
    <row r="103">
      <c r="A103" s="201">
        <f>ROW()</f>
      </c>
      <c r="B103" s="201">
        <f>ISTEXT('Proyecto Datos (OKR´s)'!$K103)</f>
      </c>
      <c r="C103" s="201">
        <f>AND(LEN('Proyecto Datos (OKR´s)'!$G103)&gt;0,NOT($B103),OR(ISNUMBER('Proyecto Datos (OKR´s)'!$F103),ISNUMBER('Proyecto Datos (OKR´s)'!$L103)))</f>
      </c>
      <c r="D103" s="202">
        <f>IF($C103,IFERROR(LOOKUP(2,1/((ISTEXT('Proyecto Datos (OKR´s)'!$K$7:$K103))*(LEN('Proyecto Datos (OKR´s)'!$G$7:$G103)&gt;0)),'Proyecto Datos (OKR´s)'!$G$7:$G103),""),"")</f>
      </c>
      <c r="E103" s="201">
        <f>IF($C103,'Proyecto Datos (OKR´s)'!$E103,"")</f>
      </c>
      <c r="F103" s="202">
        <f>IF($C103,'Proyecto Datos (OKR´s)'!$G103,"")</f>
      </c>
      <c r="G103" s="202">
        <f>IF($C103,IF('Proyecto Datos (OKR´s)'!$I103="","(Sin asignar)",'Proyecto Datos (OKR´s)'!$I103),"")</f>
      </c>
      <c r="H103" s="201">
        <f>IF($C103,IF(ISNUMBER('Proyecto Datos (OKR´s)'!$F103),'Proyecto Datos (OKR´s)'!$F103,'Proyecto Datos (OKR´s)'!$L103),"")</f>
      </c>
      <c r="I103" s="201">
        <f>IF($C103,'Proyecto Datos (OKR´s)'!$J103,"")</f>
      </c>
      <c r="J103" s="202">
        <f>IF($C103,IF($I103&gt;=1,"Completado",IF($H103&lt;TODAY(),"Vencido",IF(($H103-TODAY())&lt;='Entregas Próximas'!$M$3,"Próximo a vencer","En curso"))),"")</f>
      </c>
      <c r="K103" s="201">
        <f>IF($C103,$H103-TODAY(),"")</f>
      </c>
      <c r="L103" s="201">
        <f>IF($C103,$AD103*1000000+$H103+ROW()/100000,"")</f>
      </c>
      <c r="M103" s="201">
        <f>IF($C103,IF($AD103=9999,"(Sin sprint)",$AD103),"")</f>
      </c>
      <c r="N103" s="201">
        <f>IF($C103,IF('Proyecto Datos (OKR´s)'!$E103="",9999,'Proyecto Datos (OKR´s)'!$E103),"")</f>
      </c>
      <c r="O103" s="201">
        <f>IF($C103,"T"&amp;TEXT(ROW(),"000"),"")</f>
      </c>
      <c r="R103" s="201">
        <f>IF($C103,IF(ISNUMBER('Proyecto Datos (OKR´s)'!$L103),'Proyecto Datos (OKR´s)'!$L103,$H103),"")</f>
      </c>
      <c r="S103" s="201">
        <f>IF($C103,$R103-'Proyecto Datos (OKR´s)'!$K103+1,"")</f>
      </c>
      <c r="T103" s="201">
        <f>IF($C103,MAX(0,TODAY()-'Proyecto Datos (OKR´s)'!$K103),"")</f>
      </c>
      <c r="U103" s="201">
        <f>IF($C103,MEDIAN(0,(TODAY()-'Proyecto Datos (OKR´s)'!$K103)/MAX(1,$R103-'Proyecto Datos (OKR´s)'!$K103),1),"")</f>
      </c>
      <c r="V103" s="201">
        <f>IF($C103,$I103-$U103,"")</f>
      </c>
      <c r="W103" s="201">
        <f>IF($C103,IF($J103="Completado",0,MAX(0,TODAY()-$H103)),"")</f>
      </c>
      <c r="X103" s="201">
        <f>IF($C103,IF(ISNUMBER($H103),$R103-$H103,0),"")</f>
      </c>
      <c r="Y103" s="201">
        <f>IF($C103,COUNTIFS($G$7:$G$200,$G103,$J$7:$J$200,"&lt;&gt;Completado",$J$7:$J$200,"&lt;&gt;"),"")</f>
      </c>
      <c r="Z103" s="201">
        <f>IF($C103,AND($I103=0,'Proyecto Datos (OKR´s)'!$K103&lt;=TODAY(),$J103&lt;&gt;"Completado"),"")</f>
      </c>
      <c r="AA103" s="201">
        <f>IF($C103,ROUND(100*(0.35*$AK103+0.3*$AL103+0.2*$AM103+0.15*MEDIAN(0,($Y103-4)/8,1)),0),"")</f>
      </c>
      <c r="AB103" s="202">
        <f>IF($C103,IF($J103="Completado","—",IF($AA103&gt;=70,"Crítica",IF($AA103&gt;=45,"Alta",IF($AA103&gt;=25,"Media","Baja")))),"")</f>
      </c>
      <c r="AC103" s="202">
        <f>IF($C103,IF(LEN(TRIM($AN103))=0,"—",TRIM($AN103)),"")</f>
      </c>
      <c r="AD103" s="201">
        <f>IF($C103,IF($N103=9999,9999,IF($J103="Completado",$N103,MAX($N103,'Historial de Sprints'!$C$7))),"")</f>
      </c>
      <c r="AE103" s="201">
        <f>IF($C103,IF($AD103=9999,"(Sin sprint)",$AD103),"")</f>
      </c>
      <c r="AF103" s="201">
        <f>IF($C103,AND($N103&lt;&gt;9999,$AD103&lt;&gt;$N103),FALSE)</f>
      </c>
      <c r="AG103" s="201">
        <f>IF($AF103,'Historial de Sprints'!$C$5+$N103*'Historial de Sprints'!$C$6-1,"")</f>
      </c>
      <c r="AH103" s="202">
        <f>IF($AF103,"No completada al cierre del Sprint "&amp;$N103&amp;" -&gt; reasignada al Sprint "&amp;$AD103,"")</f>
      </c>
      <c r="AI103" s="201">
        <f>IF($AF103,$N103*100000+ROW(),"")</f>
      </c>
      <c r="AJ103" s="201">
        <f>IF($C103,$AA103*1000000-MEDIAN(-9999,$K103,9999)*100+(300-ROW()),"")</f>
      </c>
      <c r="AK103" s="201">
        <f>IF($C103,IF($J103="Completado",0,IF($K103&lt;0,1,IF($K103&lt;=3,0.9,IF($K103&lt;=7,0.7,IF($K103&lt;=14,0.45,0.2))))),"")</f>
      </c>
      <c r="AL103" s="201">
        <f>IF($C103,IF($J103="Completado",0,MEDIAN(0,MAX(-$V103,$W103/30),1)),"")</f>
      </c>
      <c r="AM103" s="201">
        <f>IF($C103,IF($J103="Completado",0,IF($Z103,1,IF(AND($I103&lt;0.5,$K103&lt;=7),0.7,0.3))),"")</f>
      </c>
      <c r="AN103" s="202">
        <f>IF($C103,IF(OR($V103&lt;-0.2,$W103&gt;0),"ATRASO ","")&amp;IF($Z103,"BLOQUEO ","")&amp;IF($Y103&gt;8,"SOBRECARGA ","")&amp;IF($X103&gt;0,"DESVÍO-PLAN ",""),"")</f>
      </c>
    </row>
    <row r="104">
      <c r="A104" s="201">
        <f>ROW()</f>
      </c>
      <c r="B104" s="201">
        <f>ISTEXT('Proyecto Datos (OKR´s)'!$K104)</f>
      </c>
      <c r="C104" s="201">
        <f>AND(LEN('Proyecto Datos (OKR´s)'!$G104)&gt;0,NOT($B104),OR(ISNUMBER('Proyecto Datos (OKR´s)'!$F104),ISNUMBER('Proyecto Datos (OKR´s)'!$L104)))</f>
      </c>
      <c r="D104" s="202">
        <f>IF($C104,IFERROR(LOOKUP(2,1/((ISTEXT('Proyecto Datos (OKR´s)'!$K$7:$K104))*(LEN('Proyecto Datos (OKR´s)'!$G$7:$G104)&gt;0)),'Proyecto Datos (OKR´s)'!$G$7:$G104),""),"")</f>
      </c>
      <c r="E104" s="201">
        <f>IF($C104,'Proyecto Datos (OKR´s)'!$E104,"")</f>
      </c>
      <c r="F104" s="202">
        <f>IF($C104,'Proyecto Datos (OKR´s)'!$G104,"")</f>
      </c>
      <c r="G104" s="202">
        <f>IF($C104,IF('Proyecto Datos (OKR´s)'!$I104="","(Sin asignar)",'Proyecto Datos (OKR´s)'!$I104),"")</f>
      </c>
      <c r="H104" s="201">
        <f>IF($C104,IF(ISNUMBER('Proyecto Datos (OKR´s)'!$F104),'Proyecto Datos (OKR´s)'!$F104,'Proyecto Datos (OKR´s)'!$L104),"")</f>
      </c>
      <c r="I104" s="201">
        <f>IF($C104,'Proyecto Datos (OKR´s)'!$J104,"")</f>
      </c>
      <c r="J104" s="202">
        <f>IF($C104,IF($I104&gt;=1,"Completado",IF($H104&lt;TODAY(),"Vencido",IF(($H104-TODAY())&lt;='Entregas Próximas'!$M$3,"Próximo a vencer","En curso"))),"")</f>
      </c>
      <c r="K104" s="201">
        <f>IF($C104,$H104-TODAY(),"")</f>
      </c>
      <c r="L104" s="201">
        <f>IF($C104,$AD104*1000000+$H104+ROW()/100000,"")</f>
      </c>
      <c r="M104" s="201">
        <f>IF($C104,IF($AD104=9999,"(Sin sprint)",$AD104),"")</f>
      </c>
      <c r="N104" s="201">
        <f>IF($C104,IF('Proyecto Datos (OKR´s)'!$E104="",9999,'Proyecto Datos (OKR´s)'!$E104),"")</f>
      </c>
      <c r="O104" s="201">
        <f>IF($C104,"T"&amp;TEXT(ROW(),"000"),"")</f>
      </c>
      <c r="R104" s="201">
        <f>IF($C104,IF(ISNUMBER('Proyecto Datos (OKR´s)'!$L104),'Proyecto Datos (OKR´s)'!$L104,$H104),"")</f>
      </c>
      <c r="S104" s="201">
        <f>IF($C104,$R104-'Proyecto Datos (OKR´s)'!$K104+1,"")</f>
      </c>
      <c r="T104" s="201">
        <f>IF($C104,MAX(0,TODAY()-'Proyecto Datos (OKR´s)'!$K104),"")</f>
      </c>
      <c r="U104" s="201">
        <f>IF($C104,MEDIAN(0,(TODAY()-'Proyecto Datos (OKR´s)'!$K104)/MAX(1,$R104-'Proyecto Datos (OKR´s)'!$K104),1),"")</f>
      </c>
      <c r="V104" s="201">
        <f>IF($C104,$I104-$U104,"")</f>
      </c>
      <c r="W104" s="201">
        <f>IF($C104,IF($J104="Completado",0,MAX(0,TODAY()-$H104)),"")</f>
      </c>
      <c r="X104" s="201">
        <f>IF($C104,IF(ISNUMBER($H104),$R104-$H104,0),"")</f>
      </c>
      <c r="Y104" s="201">
        <f>IF($C104,COUNTIFS($G$7:$G$200,$G104,$J$7:$J$200,"&lt;&gt;Completado",$J$7:$J$200,"&lt;&gt;"),"")</f>
      </c>
      <c r="Z104" s="201">
        <f>IF($C104,AND($I104=0,'Proyecto Datos (OKR´s)'!$K104&lt;=TODAY(),$J104&lt;&gt;"Completado"),"")</f>
      </c>
      <c r="AA104" s="201">
        <f>IF($C104,ROUND(100*(0.35*$AK104+0.3*$AL104+0.2*$AM104+0.15*MEDIAN(0,($Y104-4)/8,1)),0),"")</f>
      </c>
      <c r="AB104" s="202">
        <f>IF($C104,IF($J104="Completado","—",IF($AA104&gt;=70,"Crítica",IF($AA104&gt;=45,"Alta",IF($AA104&gt;=25,"Media","Baja")))),"")</f>
      </c>
      <c r="AC104" s="202">
        <f>IF($C104,IF(LEN(TRIM($AN104))=0,"—",TRIM($AN104)),"")</f>
      </c>
      <c r="AD104" s="201">
        <f>IF($C104,IF($N104=9999,9999,IF($J104="Completado",$N104,MAX($N104,'Historial de Sprints'!$C$7))),"")</f>
      </c>
      <c r="AE104" s="201">
        <f>IF($C104,IF($AD104=9999,"(Sin sprint)",$AD104),"")</f>
      </c>
      <c r="AF104" s="201">
        <f>IF($C104,AND($N104&lt;&gt;9999,$AD104&lt;&gt;$N104),FALSE)</f>
      </c>
      <c r="AG104" s="201">
        <f>IF($AF104,'Historial de Sprints'!$C$5+$N104*'Historial de Sprints'!$C$6-1,"")</f>
      </c>
      <c r="AH104" s="202">
        <f>IF($AF104,"No completada al cierre del Sprint "&amp;$N104&amp;" -&gt; reasignada al Sprint "&amp;$AD104,"")</f>
      </c>
      <c r="AI104" s="201">
        <f>IF($AF104,$N104*100000+ROW(),"")</f>
      </c>
      <c r="AJ104" s="201">
        <f>IF($C104,$AA104*1000000-MEDIAN(-9999,$K104,9999)*100+(300-ROW()),"")</f>
      </c>
      <c r="AK104" s="201">
        <f>IF($C104,IF($J104="Completado",0,IF($K104&lt;0,1,IF($K104&lt;=3,0.9,IF($K104&lt;=7,0.7,IF($K104&lt;=14,0.45,0.2))))),"")</f>
      </c>
      <c r="AL104" s="201">
        <f>IF($C104,IF($J104="Completado",0,MEDIAN(0,MAX(-$V104,$W104/30),1)),"")</f>
      </c>
      <c r="AM104" s="201">
        <f>IF($C104,IF($J104="Completado",0,IF($Z104,1,IF(AND($I104&lt;0.5,$K104&lt;=7),0.7,0.3))),"")</f>
      </c>
      <c r="AN104" s="202">
        <f>IF($C104,IF(OR($V104&lt;-0.2,$W104&gt;0),"ATRASO ","")&amp;IF($Z104,"BLOQUEO ","")&amp;IF($Y104&gt;8,"SOBRECARGA ","")&amp;IF($X104&gt;0,"DESVÍO-PLAN ",""),"")</f>
      </c>
    </row>
    <row r="105">
      <c r="A105" s="201">
        <f>ROW()</f>
      </c>
      <c r="B105" s="201">
        <f>ISTEXT('Proyecto Datos (OKR´s)'!$K105)</f>
      </c>
      <c r="C105" s="201">
        <f>AND(LEN('Proyecto Datos (OKR´s)'!$G105)&gt;0,NOT($B105),OR(ISNUMBER('Proyecto Datos (OKR´s)'!$F105),ISNUMBER('Proyecto Datos (OKR´s)'!$L105)))</f>
      </c>
      <c r="D105" s="202">
        <f>IF($C105,IFERROR(LOOKUP(2,1/((ISTEXT('Proyecto Datos (OKR´s)'!$K$7:$K105))*(LEN('Proyecto Datos (OKR´s)'!$G$7:$G105)&gt;0)),'Proyecto Datos (OKR´s)'!$G$7:$G105),""),"")</f>
      </c>
      <c r="E105" s="201">
        <f>IF($C105,'Proyecto Datos (OKR´s)'!$E105,"")</f>
      </c>
      <c r="F105" s="202">
        <f>IF($C105,'Proyecto Datos (OKR´s)'!$G105,"")</f>
      </c>
      <c r="G105" s="202">
        <f>IF($C105,IF('Proyecto Datos (OKR´s)'!$I105="","(Sin asignar)",'Proyecto Datos (OKR´s)'!$I105),"")</f>
      </c>
      <c r="H105" s="201">
        <f>IF($C105,IF(ISNUMBER('Proyecto Datos (OKR´s)'!$F105),'Proyecto Datos (OKR´s)'!$F105,'Proyecto Datos (OKR´s)'!$L105),"")</f>
      </c>
      <c r="I105" s="201">
        <f>IF($C105,'Proyecto Datos (OKR´s)'!$J105,"")</f>
      </c>
      <c r="J105" s="202">
        <f>IF($C105,IF($I105&gt;=1,"Completado",IF($H105&lt;TODAY(),"Vencido",IF(($H105-TODAY())&lt;='Entregas Próximas'!$M$3,"Próximo a vencer","En curso"))),"")</f>
      </c>
      <c r="K105" s="201">
        <f>IF($C105,$H105-TODAY(),"")</f>
      </c>
      <c r="L105" s="201">
        <f>IF($C105,$AD105*1000000+$H105+ROW()/100000,"")</f>
      </c>
      <c r="M105" s="201">
        <f>IF($C105,IF($AD105=9999,"(Sin sprint)",$AD105),"")</f>
      </c>
      <c r="N105" s="201">
        <f>IF($C105,IF('Proyecto Datos (OKR´s)'!$E105="",9999,'Proyecto Datos (OKR´s)'!$E105),"")</f>
      </c>
      <c r="O105" s="201">
        <f>IF($C105,"T"&amp;TEXT(ROW(),"000"),"")</f>
      </c>
      <c r="R105" s="201">
        <f>IF($C105,IF(ISNUMBER('Proyecto Datos (OKR´s)'!$L105),'Proyecto Datos (OKR´s)'!$L105,$H105),"")</f>
      </c>
      <c r="S105" s="201">
        <f>IF($C105,$R105-'Proyecto Datos (OKR´s)'!$K105+1,"")</f>
      </c>
      <c r="T105" s="201">
        <f>IF($C105,MAX(0,TODAY()-'Proyecto Datos (OKR´s)'!$K105),"")</f>
      </c>
      <c r="U105" s="201">
        <f>IF($C105,MEDIAN(0,(TODAY()-'Proyecto Datos (OKR´s)'!$K105)/MAX(1,$R105-'Proyecto Datos (OKR´s)'!$K105),1),"")</f>
      </c>
      <c r="V105" s="201">
        <f>IF($C105,$I105-$U105,"")</f>
      </c>
      <c r="W105" s="201">
        <f>IF($C105,IF($J105="Completado",0,MAX(0,TODAY()-$H105)),"")</f>
      </c>
      <c r="X105" s="201">
        <f>IF($C105,IF(ISNUMBER($H105),$R105-$H105,0),"")</f>
      </c>
      <c r="Y105" s="201">
        <f>IF($C105,COUNTIFS($G$7:$G$200,$G105,$J$7:$J$200,"&lt;&gt;Completado",$J$7:$J$200,"&lt;&gt;"),"")</f>
      </c>
      <c r="Z105" s="201">
        <f>IF($C105,AND($I105=0,'Proyecto Datos (OKR´s)'!$K105&lt;=TODAY(),$J105&lt;&gt;"Completado"),"")</f>
      </c>
      <c r="AA105" s="201">
        <f>IF($C105,ROUND(100*(0.35*$AK105+0.3*$AL105+0.2*$AM105+0.15*MEDIAN(0,($Y105-4)/8,1)),0),"")</f>
      </c>
      <c r="AB105" s="202">
        <f>IF($C105,IF($J105="Completado","—",IF($AA105&gt;=70,"Crítica",IF($AA105&gt;=45,"Alta",IF($AA105&gt;=25,"Media","Baja")))),"")</f>
      </c>
      <c r="AC105" s="202">
        <f>IF($C105,IF(LEN(TRIM($AN105))=0,"—",TRIM($AN105)),"")</f>
      </c>
      <c r="AD105" s="201">
        <f>IF($C105,IF($N105=9999,9999,IF($J105="Completado",$N105,MAX($N105,'Historial de Sprints'!$C$7))),"")</f>
      </c>
      <c r="AE105" s="201">
        <f>IF($C105,IF($AD105=9999,"(Sin sprint)",$AD105),"")</f>
      </c>
      <c r="AF105" s="201">
        <f>IF($C105,AND($N105&lt;&gt;9999,$AD105&lt;&gt;$N105),FALSE)</f>
      </c>
      <c r="AG105" s="201">
        <f>IF($AF105,'Historial de Sprints'!$C$5+$N105*'Historial de Sprints'!$C$6-1,"")</f>
      </c>
      <c r="AH105" s="202">
        <f>IF($AF105,"No completada al cierre del Sprint "&amp;$N105&amp;" -&gt; reasignada al Sprint "&amp;$AD105,"")</f>
      </c>
      <c r="AI105" s="201">
        <f>IF($AF105,$N105*100000+ROW(),"")</f>
      </c>
      <c r="AJ105" s="201">
        <f>IF($C105,$AA105*1000000-MEDIAN(-9999,$K105,9999)*100+(300-ROW()),"")</f>
      </c>
      <c r="AK105" s="201">
        <f>IF($C105,IF($J105="Completado",0,IF($K105&lt;0,1,IF($K105&lt;=3,0.9,IF($K105&lt;=7,0.7,IF($K105&lt;=14,0.45,0.2))))),"")</f>
      </c>
      <c r="AL105" s="201">
        <f>IF($C105,IF($J105="Completado",0,MEDIAN(0,MAX(-$V105,$W105/30),1)),"")</f>
      </c>
      <c r="AM105" s="201">
        <f>IF($C105,IF($J105="Completado",0,IF($Z105,1,IF(AND($I105&lt;0.5,$K105&lt;=7),0.7,0.3))),"")</f>
      </c>
      <c r="AN105" s="202">
        <f>IF($C105,IF(OR($V105&lt;-0.2,$W105&gt;0),"ATRASO ","")&amp;IF($Z105,"BLOQUEO ","")&amp;IF($Y105&gt;8,"SOBRECARGA ","")&amp;IF($X105&gt;0,"DESVÍO-PLAN ",""),"")</f>
      </c>
    </row>
    <row r="106">
      <c r="A106" s="201">
        <f>ROW()</f>
      </c>
      <c r="B106" s="201">
        <f>ISTEXT('Proyecto Datos (OKR´s)'!$K106)</f>
      </c>
      <c r="C106" s="201">
        <f>AND(LEN('Proyecto Datos (OKR´s)'!$G106)&gt;0,NOT($B106),OR(ISNUMBER('Proyecto Datos (OKR´s)'!$F106),ISNUMBER('Proyecto Datos (OKR´s)'!$L106)))</f>
      </c>
      <c r="D106" s="202">
        <f>IF($C106,IFERROR(LOOKUP(2,1/((ISTEXT('Proyecto Datos (OKR´s)'!$K$7:$K106))*(LEN('Proyecto Datos (OKR´s)'!$G$7:$G106)&gt;0)),'Proyecto Datos (OKR´s)'!$G$7:$G106),""),"")</f>
      </c>
      <c r="E106" s="201">
        <f>IF($C106,'Proyecto Datos (OKR´s)'!$E106,"")</f>
      </c>
      <c r="F106" s="202">
        <f>IF($C106,'Proyecto Datos (OKR´s)'!$G106,"")</f>
      </c>
      <c r="G106" s="202">
        <f>IF($C106,IF('Proyecto Datos (OKR´s)'!$I106="","(Sin asignar)",'Proyecto Datos (OKR´s)'!$I106),"")</f>
      </c>
      <c r="H106" s="201">
        <f>IF($C106,IF(ISNUMBER('Proyecto Datos (OKR´s)'!$F106),'Proyecto Datos (OKR´s)'!$F106,'Proyecto Datos (OKR´s)'!$L106),"")</f>
      </c>
      <c r="I106" s="201">
        <f>IF($C106,'Proyecto Datos (OKR´s)'!$J106,"")</f>
      </c>
      <c r="J106" s="202">
        <f>IF($C106,IF($I106&gt;=1,"Completado",IF($H106&lt;TODAY(),"Vencido",IF(($H106-TODAY())&lt;='Entregas Próximas'!$M$3,"Próximo a vencer","En curso"))),"")</f>
      </c>
      <c r="K106" s="201">
        <f>IF($C106,$H106-TODAY(),"")</f>
      </c>
      <c r="L106" s="201">
        <f>IF($C106,$AD106*1000000+$H106+ROW()/100000,"")</f>
      </c>
      <c r="M106" s="201">
        <f>IF($C106,IF($AD106=9999,"(Sin sprint)",$AD106),"")</f>
      </c>
      <c r="N106" s="201">
        <f>IF($C106,IF('Proyecto Datos (OKR´s)'!$E106="",9999,'Proyecto Datos (OKR´s)'!$E106),"")</f>
      </c>
      <c r="O106" s="201">
        <f>IF($C106,"T"&amp;TEXT(ROW(),"000"),"")</f>
      </c>
      <c r="R106" s="201">
        <f>IF($C106,IF(ISNUMBER('Proyecto Datos (OKR´s)'!$L106),'Proyecto Datos (OKR´s)'!$L106,$H106),"")</f>
      </c>
      <c r="S106" s="201">
        <f>IF($C106,$R106-'Proyecto Datos (OKR´s)'!$K106+1,"")</f>
      </c>
      <c r="T106" s="201">
        <f>IF($C106,MAX(0,TODAY()-'Proyecto Datos (OKR´s)'!$K106),"")</f>
      </c>
      <c r="U106" s="201">
        <f>IF($C106,MEDIAN(0,(TODAY()-'Proyecto Datos (OKR´s)'!$K106)/MAX(1,$R106-'Proyecto Datos (OKR´s)'!$K106),1),"")</f>
      </c>
      <c r="V106" s="201">
        <f>IF($C106,$I106-$U106,"")</f>
      </c>
      <c r="W106" s="201">
        <f>IF($C106,IF($J106="Completado",0,MAX(0,TODAY()-$H106)),"")</f>
      </c>
      <c r="X106" s="201">
        <f>IF($C106,IF(ISNUMBER($H106),$R106-$H106,0),"")</f>
      </c>
      <c r="Y106" s="201">
        <f>IF($C106,COUNTIFS($G$7:$G$200,$G106,$J$7:$J$200,"&lt;&gt;Completado",$J$7:$J$200,"&lt;&gt;"),"")</f>
      </c>
      <c r="Z106" s="201">
        <f>IF($C106,AND($I106=0,'Proyecto Datos (OKR´s)'!$K106&lt;=TODAY(),$J106&lt;&gt;"Completado"),"")</f>
      </c>
      <c r="AA106" s="201">
        <f>IF($C106,ROUND(100*(0.35*$AK106+0.3*$AL106+0.2*$AM106+0.15*MEDIAN(0,($Y106-4)/8,1)),0),"")</f>
      </c>
      <c r="AB106" s="202">
        <f>IF($C106,IF($J106="Completado","—",IF($AA106&gt;=70,"Crítica",IF($AA106&gt;=45,"Alta",IF($AA106&gt;=25,"Media","Baja")))),"")</f>
      </c>
      <c r="AC106" s="202">
        <f>IF($C106,IF(LEN(TRIM($AN106))=0,"—",TRIM($AN106)),"")</f>
      </c>
      <c r="AD106" s="201">
        <f>IF($C106,IF($N106=9999,9999,IF($J106="Completado",$N106,MAX($N106,'Historial de Sprints'!$C$7))),"")</f>
      </c>
      <c r="AE106" s="201">
        <f>IF($C106,IF($AD106=9999,"(Sin sprint)",$AD106),"")</f>
      </c>
      <c r="AF106" s="201">
        <f>IF($C106,AND($N106&lt;&gt;9999,$AD106&lt;&gt;$N106),FALSE)</f>
      </c>
      <c r="AG106" s="201">
        <f>IF($AF106,'Historial de Sprints'!$C$5+$N106*'Historial de Sprints'!$C$6-1,"")</f>
      </c>
      <c r="AH106" s="202">
        <f>IF($AF106,"No completada al cierre del Sprint "&amp;$N106&amp;" -&gt; reasignada al Sprint "&amp;$AD106,"")</f>
      </c>
      <c r="AI106" s="201">
        <f>IF($AF106,$N106*100000+ROW(),"")</f>
      </c>
      <c r="AJ106" s="201">
        <f>IF($C106,$AA106*1000000-MEDIAN(-9999,$K106,9999)*100+(300-ROW()),"")</f>
      </c>
      <c r="AK106" s="201">
        <f>IF($C106,IF($J106="Completado",0,IF($K106&lt;0,1,IF($K106&lt;=3,0.9,IF($K106&lt;=7,0.7,IF($K106&lt;=14,0.45,0.2))))),"")</f>
      </c>
      <c r="AL106" s="201">
        <f>IF($C106,IF($J106="Completado",0,MEDIAN(0,MAX(-$V106,$W106/30),1)),"")</f>
      </c>
      <c r="AM106" s="201">
        <f>IF($C106,IF($J106="Completado",0,IF($Z106,1,IF(AND($I106&lt;0.5,$K106&lt;=7),0.7,0.3))),"")</f>
      </c>
      <c r="AN106" s="202">
        <f>IF($C106,IF(OR($V106&lt;-0.2,$W106&gt;0),"ATRASO ","")&amp;IF($Z106,"BLOQUEO ","")&amp;IF($Y106&gt;8,"SOBRECARGA ","")&amp;IF($X106&gt;0,"DESVÍO-PLAN ",""),"")</f>
      </c>
    </row>
    <row r="107">
      <c r="A107" s="201">
        <f>ROW()</f>
      </c>
      <c r="B107" s="201">
        <f>ISTEXT('Proyecto Datos (OKR´s)'!$K107)</f>
      </c>
      <c r="C107" s="201">
        <f>AND(LEN('Proyecto Datos (OKR´s)'!$G107)&gt;0,NOT($B107),OR(ISNUMBER('Proyecto Datos (OKR´s)'!$F107),ISNUMBER('Proyecto Datos (OKR´s)'!$L107)))</f>
      </c>
      <c r="D107" s="202">
        <f>IF($C107,IFERROR(LOOKUP(2,1/((ISTEXT('Proyecto Datos (OKR´s)'!$K$7:$K107))*(LEN('Proyecto Datos (OKR´s)'!$G$7:$G107)&gt;0)),'Proyecto Datos (OKR´s)'!$G$7:$G107),""),"")</f>
      </c>
      <c r="E107" s="201">
        <f>IF($C107,'Proyecto Datos (OKR´s)'!$E107,"")</f>
      </c>
      <c r="F107" s="202">
        <f>IF($C107,'Proyecto Datos (OKR´s)'!$G107,"")</f>
      </c>
      <c r="G107" s="202">
        <f>IF($C107,IF('Proyecto Datos (OKR´s)'!$I107="","(Sin asignar)",'Proyecto Datos (OKR´s)'!$I107),"")</f>
      </c>
      <c r="H107" s="201">
        <f>IF($C107,IF(ISNUMBER('Proyecto Datos (OKR´s)'!$F107),'Proyecto Datos (OKR´s)'!$F107,'Proyecto Datos (OKR´s)'!$L107),"")</f>
      </c>
      <c r="I107" s="201">
        <f>IF($C107,'Proyecto Datos (OKR´s)'!$J107,"")</f>
      </c>
      <c r="J107" s="202">
        <f>IF($C107,IF($I107&gt;=1,"Completado",IF($H107&lt;TODAY(),"Vencido",IF(($H107-TODAY())&lt;='Entregas Próximas'!$M$3,"Próximo a vencer","En curso"))),"")</f>
      </c>
      <c r="K107" s="201">
        <f>IF($C107,$H107-TODAY(),"")</f>
      </c>
      <c r="L107" s="201">
        <f>IF($C107,$AD107*1000000+$H107+ROW()/100000,"")</f>
      </c>
      <c r="M107" s="201">
        <f>IF($C107,IF($AD107=9999,"(Sin sprint)",$AD107),"")</f>
      </c>
      <c r="N107" s="201">
        <f>IF($C107,IF('Proyecto Datos (OKR´s)'!$E107="",9999,'Proyecto Datos (OKR´s)'!$E107),"")</f>
      </c>
      <c r="O107" s="201">
        <f>IF($C107,"T"&amp;TEXT(ROW(),"000"),"")</f>
      </c>
      <c r="R107" s="201">
        <f>IF($C107,IF(ISNUMBER('Proyecto Datos (OKR´s)'!$L107),'Proyecto Datos (OKR´s)'!$L107,$H107),"")</f>
      </c>
      <c r="S107" s="201">
        <f>IF($C107,$R107-'Proyecto Datos (OKR´s)'!$K107+1,"")</f>
      </c>
      <c r="T107" s="201">
        <f>IF($C107,MAX(0,TODAY()-'Proyecto Datos (OKR´s)'!$K107),"")</f>
      </c>
      <c r="U107" s="201">
        <f>IF($C107,MEDIAN(0,(TODAY()-'Proyecto Datos (OKR´s)'!$K107)/MAX(1,$R107-'Proyecto Datos (OKR´s)'!$K107),1),"")</f>
      </c>
      <c r="V107" s="201">
        <f>IF($C107,$I107-$U107,"")</f>
      </c>
      <c r="W107" s="201">
        <f>IF($C107,IF($J107="Completado",0,MAX(0,TODAY()-$H107)),"")</f>
      </c>
      <c r="X107" s="201">
        <f>IF($C107,IF(ISNUMBER($H107),$R107-$H107,0),"")</f>
      </c>
      <c r="Y107" s="201">
        <f>IF($C107,COUNTIFS($G$7:$G$200,$G107,$J$7:$J$200,"&lt;&gt;Completado",$J$7:$J$200,"&lt;&gt;"),"")</f>
      </c>
      <c r="Z107" s="201">
        <f>IF($C107,AND($I107=0,'Proyecto Datos (OKR´s)'!$K107&lt;=TODAY(),$J107&lt;&gt;"Completado"),"")</f>
      </c>
      <c r="AA107" s="201">
        <f>IF($C107,ROUND(100*(0.35*$AK107+0.3*$AL107+0.2*$AM107+0.15*MEDIAN(0,($Y107-4)/8,1)),0),"")</f>
      </c>
      <c r="AB107" s="202">
        <f>IF($C107,IF($J107="Completado","—",IF($AA107&gt;=70,"Crítica",IF($AA107&gt;=45,"Alta",IF($AA107&gt;=25,"Media","Baja")))),"")</f>
      </c>
      <c r="AC107" s="202">
        <f>IF($C107,IF(LEN(TRIM($AN107))=0,"—",TRIM($AN107)),"")</f>
      </c>
      <c r="AD107" s="201">
        <f>IF($C107,IF($N107=9999,9999,IF($J107="Completado",$N107,MAX($N107,'Historial de Sprints'!$C$7))),"")</f>
      </c>
      <c r="AE107" s="201">
        <f>IF($C107,IF($AD107=9999,"(Sin sprint)",$AD107),"")</f>
      </c>
      <c r="AF107" s="201">
        <f>IF($C107,AND($N107&lt;&gt;9999,$AD107&lt;&gt;$N107),FALSE)</f>
      </c>
      <c r="AG107" s="201">
        <f>IF($AF107,'Historial de Sprints'!$C$5+$N107*'Historial de Sprints'!$C$6-1,"")</f>
      </c>
      <c r="AH107" s="202">
        <f>IF($AF107,"No completada al cierre del Sprint "&amp;$N107&amp;" -&gt; reasignada al Sprint "&amp;$AD107,"")</f>
      </c>
      <c r="AI107" s="201">
        <f>IF($AF107,$N107*100000+ROW(),"")</f>
      </c>
      <c r="AJ107" s="201">
        <f>IF($C107,$AA107*1000000-MEDIAN(-9999,$K107,9999)*100+(300-ROW()),"")</f>
      </c>
      <c r="AK107" s="201">
        <f>IF($C107,IF($J107="Completado",0,IF($K107&lt;0,1,IF($K107&lt;=3,0.9,IF($K107&lt;=7,0.7,IF($K107&lt;=14,0.45,0.2))))),"")</f>
      </c>
      <c r="AL107" s="201">
        <f>IF($C107,IF($J107="Completado",0,MEDIAN(0,MAX(-$V107,$W107/30),1)),"")</f>
      </c>
      <c r="AM107" s="201">
        <f>IF($C107,IF($J107="Completado",0,IF($Z107,1,IF(AND($I107&lt;0.5,$K107&lt;=7),0.7,0.3))),"")</f>
      </c>
      <c r="AN107" s="202">
        <f>IF($C107,IF(OR($V107&lt;-0.2,$W107&gt;0),"ATRASO ","")&amp;IF($Z107,"BLOQUEO ","")&amp;IF($Y107&gt;8,"SOBRECARGA ","")&amp;IF($X107&gt;0,"DESVÍO-PLAN ",""),"")</f>
      </c>
    </row>
    <row r="108">
      <c r="A108" s="201">
        <f>ROW()</f>
      </c>
      <c r="B108" s="201">
        <f>ISTEXT('Proyecto Datos (OKR´s)'!$K108)</f>
      </c>
      <c r="C108" s="201">
        <f>AND(LEN('Proyecto Datos (OKR´s)'!$G108)&gt;0,NOT($B108),OR(ISNUMBER('Proyecto Datos (OKR´s)'!$F108),ISNUMBER('Proyecto Datos (OKR´s)'!$L108)))</f>
      </c>
      <c r="D108" s="202">
        <f>IF($C108,IFERROR(LOOKUP(2,1/((ISTEXT('Proyecto Datos (OKR´s)'!$K$7:$K108))*(LEN('Proyecto Datos (OKR´s)'!$G$7:$G108)&gt;0)),'Proyecto Datos (OKR´s)'!$G$7:$G108),""),"")</f>
      </c>
      <c r="E108" s="201">
        <f>IF($C108,'Proyecto Datos (OKR´s)'!$E108,"")</f>
      </c>
      <c r="F108" s="202">
        <f>IF($C108,'Proyecto Datos (OKR´s)'!$G108,"")</f>
      </c>
      <c r="G108" s="202">
        <f>IF($C108,IF('Proyecto Datos (OKR´s)'!$I108="","(Sin asignar)",'Proyecto Datos (OKR´s)'!$I108),"")</f>
      </c>
      <c r="H108" s="201">
        <f>IF($C108,IF(ISNUMBER('Proyecto Datos (OKR´s)'!$F108),'Proyecto Datos (OKR´s)'!$F108,'Proyecto Datos (OKR´s)'!$L108),"")</f>
      </c>
      <c r="I108" s="201">
        <f>IF($C108,'Proyecto Datos (OKR´s)'!$J108,"")</f>
      </c>
      <c r="J108" s="202">
        <f>IF($C108,IF($I108&gt;=1,"Completado",IF($H108&lt;TODAY(),"Vencido",IF(($H108-TODAY())&lt;='Entregas Próximas'!$M$3,"Próximo a vencer","En curso"))),"")</f>
      </c>
      <c r="K108" s="201">
        <f>IF($C108,$H108-TODAY(),"")</f>
      </c>
      <c r="L108" s="201">
        <f>IF($C108,$AD108*1000000+$H108+ROW()/100000,"")</f>
      </c>
      <c r="M108" s="201">
        <f>IF($C108,IF($AD108=9999,"(Sin sprint)",$AD108),"")</f>
      </c>
      <c r="N108" s="201">
        <f>IF($C108,IF('Proyecto Datos (OKR´s)'!$E108="",9999,'Proyecto Datos (OKR´s)'!$E108),"")</f>
      </c>
      <c r="O108" s="201">
        <f>IF($C108,"T"&amp;TEXT(ROW(),"000"),"")</f>
      </c>
      <c r="R108" s="201">
        <f>IF($C108,IF(ISNUMBER('Proyecto Datos (OKR´s)'!$L108),'Proyecto Datos (OKR´s)'!$L108,$H108),"")</f>
      </c>
      <c r="S108" s="201">
        <f>IF($C108,$R108-'Proyecto Datos (OKR´s)'!$K108+1,"")</f>
      </c>
      <c r="T108" s="201">
        <f>IF($C108,MAX(0,TODAY()-'Proyecto Datos (OKR´s)'!$K108),"")</f>
      </c>
      <c r="U108" s="201">
        <f>IF($C108,MEDIAN(0,(TODAY()-'Proyecto Datos (OKR´s)'!$K108)/MAX(1,$R108-'Proyecto Datos (OKR´s)'!$K108),1),"")</f>
      </c>
      <c r="V108" s="201">
        <f>IF($C108,$I108-$U108,"")</f>
      </c>
      <c r="W108" s="201">
        <f>IF($C108,IF($J108="Completado",0,MAX(0,TODAY()-$H108)),"")</f>
      </c>
      <c r="X108" s="201">
        <f>IF($C108,IF(ISNUMBER($H108),$R108-$H108,0),"")</f>
      </c>
      <c r="Y108" s="201">
        <f>IF($C108,COUNTIFS($G$7:$G$200,$G108,$J$7:$J$200,"&lt;&gt;Completado",$J$7:$J$200,"&lt;&gt;"),"")</f>
      </c>
      <c r="Z108" s="201">
        <f>IF($C108,AND($I108=0,'Proyecto Datos (OKR´s)'!$K108&lt;=TODAY(),$J108&lt;&gt;"Completado"),"")</f>
      </c>
      <c r="AA108" s="201">
        <f>IF($C108,ROUND(100*(0.35*$AK108+0.3*$AL108+0.2*$AM108+0.15*MEDIAN(0,($Y108-4)/8,1)),0),"")</f>
      </c>
      <c r="AB108" s="202">
        <f>IF($C108,IF($J108="Completado","—",IF($AA108&gt;=70,"Crítica",IF($AA108&gt;=45,"Alta",IF($AA108&gt;=25,"Media","Baja")))),"")</f>
      </c>
      <c r="AC108" s="202">
        <f>IF($C108,IF(LEN(TRIM($AN108))=0,"—",TRIM($AN108)),"")</f>
      </c>
      <c r="AD108" s="201">
        <f>IF($C108,IF($N108=9999,9999,IF($J108="Completado",$N108,MAX($N108,'Historial de Sprints'!$C$7))),"")</f>
      </c>
      <c r="AE108" s="201">
        <f>IF($C108,IF($AD108=9999,"(Sin sprint)",$AD108),"")</f>
      </c>
      <c r="AF108" s="201">
        <f>IF($C108,AND($N108&lt;&gt;9999,$AD108&lt;&gt;$N108),FALSE)</f>
      </c>
      <c r="AG108" s="201">
        <f>IF($AF108,'Historial de Sprints'!$C$5+$N108*'Historial de Sprints'!$C$6-1,"")</f>
      </c>
      <c r="AH108" s="202">
        <f>IF($AF108,"No completada al cierre del Sprint "&amp;$N108&amp;" -&gt; reasignada al Sprint "&amp;$AD108,"")</f>
      </c>
      <c r="AI108" s="201">
        <f>IF($AF108,$N108*100000+ROW(),"")</f>
      </c>
      <c r="AJ108" s="201">
        <f>IF($C108,$AA108*1000000-MEDIAN(-9999,$K108,9999)*100+(300-ROW()),"")</f>
      </c>
      <c r="AK108" s="201">
        <f>IF($C108,IF($J108="Completado",0,IF($K108&lt;0,1,IF($K108&lt;=3,0.9,IF($K108&lt;=7,0.7,IF($K108&lt;=14,0.45,0.2))))),"")</f>
      </c>
      <c r="AL108" s="201">
        <f>IF($C108,IF($J108="Completado",0,MEDIAN(0,MAX(-$V108,$W108/30),1)),"")</f>
      </c>
      <c r="AM108" s="201">
        <f>IF($C108,IF($J108="Completado",0,IF($Z108,1,IF(AND($I108&lt;0.5,$K108&lt;=7),0.7,0.3))),"")</f>
      </c>
      <c r="AN108" s="202">
        <f>IF($C108,IF(OR($V108&lt;-0.2,$W108&gt;0),"ATRASO ","")&amp;IF($Z108,"BLOQUEO ","")&amp;IF($Y108&gt;8,"SOBRECARGA ","")&amp;IF($X108&gt;0,"DESVÍO-PLAN ",""),"")</f>
      </c>
    </row>
    <row r="109">
      <c r="A109" s="201">
        <f>ROW()</f>
      </c>
      <c r="B109" s="201">
        <f>ISTEXT('Proyecto Datos (OKR´s)'!$K109)</f>
      </c>
      <c r="C109" s="201">
        <f>AND(LEN('Proyecto Datos (OKR´s)'!$G109)&gt;0,NOT($B109),OR(ISNUMBER('Proyecto Datos (OKR´s)'!$F109),ISNUMBER('Proyecto Datos (OKR´s)'!$L109)))</f>
      </c>
      <c r="D109" s="202">
        <f>IF($C109,IFERROR(LOOKUP(2,1/((ISTEXT('Proyecto Datos (OKR´s)'!$K$7:$K109))*(LEN('Proyecto Datos (OKR´s)'!$G$7:$G109)&gt;0)),'Proyecto Datos (OKR´s)'!$G$7:$G109),""),"")</f>
      </c>
      <c r="E109" s="201">
        <f>IF($C109,'Proyecto Datos (OKR´s)'!$E109,"")</f>
      </c>
      <c r="F109" s="202">
        <f>IF($C109,'Proyecto Datos (OKR´s)'!$G109,"")</f>
      </c>
      <c r="G109" s="202">
        <f>IF($C109,IF('Proyecto Datos (OKR´s)'!$I109="","(Sin asignar)",'Proyecto Datos (OKR´s)'!$I109),"")</f>
      </c>
      <c r="H109" s="201">
        <f>IF($C109,IF(ISNUMBER('Proyecto Datos (OKR´s)'!$F109),'Proyecto Datos (OKR´s)'!$F109,'Proyecto Datos (OKR´s)'!$L109),"")</f>
      </c>
      <c r="I109" s="201">
        <f>IF($C109,'Proyecto Datos (OKR´s)'!$J109,"")</f>
      </c>
      <c r="J109" s="202">
        <f>IF($C109,IF($I109&gt;=1,"Completado",IF($H109&lt;TODAY(),"Vencido",IF(($H109-TODAY())&lt;='Entregas Próximas'!$M$3,"Próximo a vencer","En curso"))),"")</f>
      </c>
      <c r="K109" s="201">
        <f>IF($C109,$H109-TODAY(),"")</f>
      </c>
      <c r="L109" s="201">
        <f>IF($C109,$AD109*1000000+$H109+ROW()/100000,"")</f>
      </c>
      <c r="M109" s="201">
        <f>IF($C109,IF($AD109=9999,"(Sin sprint)",$AD109),"")</f>
      </c>
      <c r="N109" s="201">
        <f>IF($C109,IF('Proyecto Datos (OKR´s)'!$E109="",9999,'Proyecto Datos (OKR´s)'!$E109),"")</f>
      </c>
      <c r="O109" s="201">
        <f>IF($C109,"T"&amp;TEXT(ROW(),"000"),"")</f>
      </c>
      <c r="R109" s="201">
        <f>IF($C109,IF(ISNUMBER('Proyecto Datos (OKR´s)'!$L109),'Proyecto Datos (OKR´s)'!$L109,$H109),"")</f>
      </c>
      <c r="S109" s="201">
        <f>IF($C109,$R109-'Proyecto Datos (OKR´s)'!$K109+1,"")</f>
      </c>
      <c r="T109" s="201">
        <f>IF($C109,MAX(0,TODAY()-'Proyecto Datos (OKR´s)'!$K109),"")</f>
      </c>
      <c r="U109" s="201">
        <f>IF($C109,MEDIAN(0,(TODAY()-'Proyecto Datos (OKR´s)'!$K109)/MAX(1,$R109-'Proyecto Datos (OKR´s)'!$K109),1),"")</f>
      </c>
      <c r="V109" s="201">
        <f>IF($C109,$I109-$U109,"")</f>
      </c>
      <c r="W109" s="201">
        <f>IF($C109,IF($J109="Completado",0,MAX(0,TODAY()-$H109)),"")</f>
      </c>
      <c r="X109" s="201">
        <f>IF($C109,IF(ISNUMBER($H109),$R109-$H109,0),"")</f>
      </c>
      <c r="Y109" s="201">
        <f>IF($C109,COUNTIFS($G$7:$G$200,$G109,$J$7:$J$200,"&lt;&gt;Completado",$J$7:$J$200,"&lt;&gt;"),"")</f>
      </c>
      <c r="Z109" s="201">
        <f>IF($C109,AND($I109=0,'Proyecto Datos (OKR´s)'!$K109&lt;=TODAY(),$J109&lt;&gt;"Completado"),"")</f>
      </c>
      <c r="AA109" s="201">
        <f>IF($C109,ROUND(100*(0.35*$AK109+0.3*$AL109+0.2*$AM109+0.15*MEDIAN(0,($Y109-4)/8,1)),0),"")</f>
      </c>
      <c r="AB109" s="202">
        <f>IF($C109,IF($J109="Completado","—",IF($AA109&gt;=70,"Crítica",IF($AA109&gt;=45,"Alta",IF($AA109&gt;=25,"Media","Baja")))),"")</f>
      </c>
      <c r="AC109" s="202">
        <f>IF($C109,IF(LEN(TRIM($AN109))=0,"—",TRIM($AN109)),"")</f>
      </c>
      <c r="AD109" s="201">
        <f>IF($C109,IF($N109=9999,9999,IF($J109="Completado",$N109,MAX($N109,'Historial de Sprints'!$C$7))),"")</f>
      </c>
      <c r="AE109" s="201">
        <f>IF($C109,IF($AD109=9999,"(Sin sprint)",$AD109),"")</f>
      </c>
      <c r="AF109" s="201">
        <f>IF($C109,AND($N109&lt;&gt;9999,$AD109&lt;&gt;$N109),FALSE)</f>
      </c>
      <c r="AG109" s="201">
        <f>IF($AF109,'Historial de Sprints'!$C$5+$N109*'Historial de Sprints'!$C$6-1,"")</f>
      </c>
      <c r="AH109" s="202">
        <f>IF($AF109,"No completada al cierre del Sprint "&amp;$N109&amp;" -&gt; reasignada al Sprint "&amp;$AD109,"")</f>
      </c>
      <c r="AI109" s="201">
        <f>IF($AF109,$N109*100000+ROW(),"")</f>
      </c>
      <c r="AJ109" s="201">
        <f>IF($C109,$AA109*1000000-MEDIAN(-9999,$K109,9999)*100+(300-ROW()),"")</f>
      </c>
      <c r="AK109" s="201">
        <f>IF($C109,IF($J109="Completado",0,IF($K109&lt;0,1,IF($K109&lt;=3,0.9,IF($K109&lt;=7,0.7,IF($K109&lt;=14,0.45,0.2))))),"")</f>
      </c>
      <c r="AL109" s="201">
        <f>IF($C109,IF($J109="Completado",0,MEDIAN(0,MAX(-$V109,$W109/30),1)),"")</f>
      </c>
      <c r="AM109" s="201">
        <f>IF($C109,IF($J109="Completado",0,IF($Z109,1,IF(AND($I109&lt;0.5,$K109&lt;=7),0.7,0.3))),"")</f>
      </c>
      <c r="AN109" s="202">
        <f>IF($C109,IF(OR($V109&lt;-0.2,$W109&gt;0),"ATRASO ","")&amp;IF($Z109,"BLOQUEO ","")&amp;IF($Y109&gt;8,"SOBRECARGA ","")&amp;IF($X109&gt;0,"DESVÍO-PLAN ",""),"")</f>
      </c>
    </row>
    <row r="110">
      <c r="A110" s="201">
        <f>ROW()</f>
      </c>
      <c r="B110" s="201">
        <f>ISTEXT('Proyecto Datos (OKR´s)'!$K110)</f>
      </c>
      <c r="C110" s="201">
        <f>AND(LEN('Proyecto Datos (OKR´s)'!$G110)&gt;0,NOT($B110),OR(ISNUMBER('Proyecto Datos (OKR´s)'!$F110),ISNUMBER('Proyecto Datos (OKR´s)'!$L110)))</f>
      </c>
      <c r="D110" s="202">
        <f>IF($C110,IFERROR(LOOKUP(2,1/((ISTEXT('Proyecto Datos (OKR´s)'!$K$7:$K110))*(LEN('Proyecto Datos (OKR´s)'!$G$7:$G110)&gt;0)),'Proyecto Datos (OKR´s)'!$G$7:$G110),""),"")</f>
      </c>
      <c r="E110" s="201">
        <f>IF($C110,'Proyecto Datos (OKR´s)'!$E110,"")</f>
      </c>
      <c r="F110" s="202">
        <f>IF($C110,'Proyecto Datos (OKR´s)'!$G110,"")</f>
      </c>
      <c r="G110" s="202">
        <f>IF($C110,IF('Proyecto Datos (OKR´s)'!$I110="","(Sin asignar)",'Proyecto Datos (OKR´s)'!$I110),"")</f>
      </c>
      <c r="H110" s="201">
        <f>IF($C110,IF(ISNUMBER('Proyecto Datos (OKR´s)'!$F110),'Proyecto Datos (OKR´s)'!$F110,'Proyecto Datos (OKR´s)'!$L110),"")</f>
      </c>
      <c r="I110" s="201">
        <f>IF($C110,'Proyecto Datos (OKR´s)'!$J110,"")</f>
      </c>
      <c r="J110" s="202">
        <f>IF($C110,IF($I110&gt;=1,"Completado",IF($H110&lt;TODAY(),"Vencido",IF(($H110-TODAY())&lt;='Entregas Próximas'!$M$3,"Próximo a vencer","En curso"))),"")</f>
      </c>
      <c r="K110" s="201">
        <f>IF($C110,$H110-TODAY(),"")</f>
      </c>
      <c r="L110" s="201">
        <f>IF($C110,$AD110*1000000+$H110+ROW()/100000,"")</f>
      </c>
      <c r="M110" s="201">
        <f>IF($C110,IF($AD110=9999,"(Sin sprint)",$AD110),"")</f>
      </c>
      <c r="N110" s="201">
        <f>IF($C110,IF('Proyecto Datos (OKR´s)'!$E110="",9999,'Proyecto Datos (OKR´s)'!$E110),"")</f>
      </c>
      <c r="O110" s="201">
        <f>IF($C110,"T"&amp;TEXT(ROW(),"000"),"")</f>
      </c>
      <c r="R110" s="201">
        <f>IF($C110,IF(ISNUMBER('Proyecto Datos (OKR´s)'!$L110),'Proyecto Datos (OKR´s)'!$L110,$H110),"")</f>
      </c>
      <c r="S110" s="201">
        <f>IF($C110,$R110-'Proyecto Datos (OKR´s)'!$K110+1,"")</f>
      </c>
      <c r="T110" s="201">
        <f>IF($C110,MAX(0,TODAY()-'Proyecto Datos (OKR´s)'!$K110),"")</f>
      </c>
      <c r="U110" s="201">
        <f>IF($C110,MEDIAN(0,(TODAY()-'Proyecto Datos (OKR´s)'!$K110)/MAX(1,$R110-'Proyecto Datos (OKR´s)'!$K110),1),"")</f>
      </c>
      <c r="V110" s="201">
        <f>IF($C110,$I110-$U110,"")</f>
      </c>
      <c r="W110" s="201">
        <f>IF($C110,IF($J110="Completado",0,MAX(0,TODAY()-$H110)),"")</f>
      </c>
      <c r="X110" s="201">
        <f>IF($C110,IF(ISNUMBER($H110),$R110-$H110,0),"")</f>
      </c>
      <c r="Y110" s="201">
        <f>IF($C110,COUNTIFS($G$7:$G$200,$G110,$J$7:$J$200,"&lt;&gt;Completado",$J$7:$J$200,"&lt;&gt;"),"")</f>
      </c>
      <c r="Z110" s="201">
        <f>IF($C110,AND($I110=0,'Proyecto Datos (OKR´s)'!$K110&lt;=TODAY(),$J110&lt;&gt;"Completado"),"")</f>
      </c>
      <c r="AA110" s="201">
        <f>IF($C110,ROUND(100*(0.35*$AK110+0.3*$AL110+0.2*$AM110+0.15*MEDIAN(0,($Y110-4)/8,1)),0),"")</f>
      </c>
      <c r="AB110" s="202">
        <f>IF($C110,IF($J110="Completado","—",IF($AA110&gt;=70,"Crítica",IF($AA110&gt;=45,"Alta",IF($AA110&gt;=25,"Media","Baja")))),"")</f>
      </c>
      <c r="AC110" s="202">
        <f>IF($C110,IF(LEN(TRIM($AN110))=0,"—",TRIM($AN110)),"")</f>
      </c>
      <c r="AD110" s="201">
        <f>IF($C110,IF($N110=9999,9999,IF($J110="Completado",$N110,MAX($N110,'Historial de Sprints'!$C$7))),"")</f>
      </c>
      <c r="AE110" s="201">
        <f>IF($C110,IF($AD110=9999,"(Sin sprint)",$AD110),"")</f>
      </c>
      <c r="AF110" s="201">
        <f>IF($C110,AND($N110&lt;&gt;9999,$AD110&lt;&gt;$N110),FALSE)</f>
      </c>
      <c r="AG110" s="201">
        <f>IF($AF110,'Historial de Sprints'!$C$5+$N110*'Historial de Sprints'!$C$6-1,"")</f>
      </c>
      <c r="AH110" s="202">
        <f>IF($AF110,"No completada al cierre del Sprint "&amp;$N110&amp;" -&gt; reasignada al Sprint "&amp;$AD110,"")</f>
      </c>
      <c r="AI110" s="201">
        <f>IF($AF110,$N110*100000+ROW(),"")</f>
      </c>
      <c r="AJ110" s="201">
        <f>IF($C110,$AA110*1000000-MEDIAN(-9999,$K110,9999)*100+(300-ROW()),"")</f>
      </c>
      <c r="AK110" s="201">
        <f>IF($C110,IF($J110="Completado",0,IF($K110&lt;0,1,IF($K110&lt;=3,0.9,IF($K110&lt;=7,0.7,IF($K110&lt;=14,0.45,0.2))))),"")</f>
      </c>
      <c r="AL110" s="201">
        <f>IF($C110,IF($J110="Completado",0,MEDIAN(0,MAX(-$V110,$W110/30),1)),"")</f>
      </c>
      <c r="AM110" s="201">
        <f>IF($C110,IF($J110="Completado",0,IF($Z110,1,IF(AND($I110&lt;0.5,$K110&lt;=7),0.7,0.3))),"")</f>
      </c>
      <c r="AN110" s="202">
        <f>IF($C110,IF(OR($V110&lt;-0.2,$W110&gt;0),"ATRASO ","")&amp;IF($Z110,"BLOQUEO ","")&amp;IF($Y110&gt;8,"SOBRECARGA ","")&amp;IF($X110&gt;0,"DESVÍO-PLAN ",""),"")</f>
      </c>
    </row>
    <row r="111">
      <c r="A111" s="201">
        <f>ROW()</f>
      </c>
      <c r="B111" s="201">
        <f>ISTEXT('Proyecto Datos (OKR´s)'!$K111)</f>
      </c>
      <c r="C111" s="201">
        <f>AND(LEN('Proyecto Datos (OKR´s)'!$G111)&gt;0,NOT($B111),OR(ISNUMBER('Proyecto Datos (OKR´s)'!$F111),ISNUMBER('Proyecto Datos (OKR´s)'!$L111)))</f>
      </c>
      <c r="D111" s="202">
        <f>IF($C111,IFERROR(LOOKUP(2,1/((ISTEXT('Proyecto Datos (OKR´s)'!$K$7:$K111))*(LEN('Proyecto Datos (OKR´s)'!$G$7:$G111)&gt;0)),'Proyecto Datos (OKR´s)'!$G$7:$G111),""),"")</f>
      </c>
      <c r="E111" s="201">
        <f>IF($C111,'Proyecto Datos (OKR´s)'!$E111,"")</f>
      </c>
      <c r="F111" s="202">
        <f>IF($C111,'Proyecto Datos (OKR´s)'!$G111,"")</f>
      </c>
      <c r="G111" s="202">
        <f>IF($C111,IF('Proyecto Datos (OKR´s)'!$I111="","(Sin asignar)",'Proyecto Datos (OKR´s)'!$I111),"")</f>
      </c>
      <c r="H111" s="201">
        <f>IF($C111,IF(ISNUMBER('Proyecto Datos (OKR´s)'!$F111),'Proyecto Datos (OKR´s)'!$F111,'Proyecto Datos (OKR´s)'!$L111),"")</f>
      </c>
      <c r="I111" s="201">
        <f>IF($C111,'Proyecto Datos (OKR´s)'!$J111,"")</f>
      </c>
      <c r="J111" s="202">
        <f>IF($C111,IF($I111&gt;=1,"Completado",IF($H111&lt;TODAY(),"Vencido",IF(($H111-TODAY())&lt;='Entregas Próximas'!$M$3,"Próximo a vencer","En curso"))),"")</f>
      </c>
      <c r="K111" s="201">
        <f>IF($C111,$H111-TODAY(),"")</f>
      </c>
      <c r="L111" s="201">
        <f>IF($C111,$AD111*1000000+$H111+ROW()/100000,"")</f>
      </c>
      <c r="M111" s="201">
        <f>IF($C111,IF($AD111=9999,"(Sin sprint)",$AD111),"")</f>
      </c>
      <c r="N111" s="201">
        <f>IF($C111,IF('Proyecto Datos (OKR´s)'!$E111="",9999,'Proyecto Datos (OKR´s)'!$E111),"")</f>
      </c>
      <c r="O111" s="201">
        <f>IF($C111,"T"&amp;TEXT(ROW(),"000"),"")</f>
      </c>
      <c r="R111" s="201">
        <f>IF($C111,IF(ISNUMBER('Proyecto Datos (OKR´s)'!$L111),'Proyecto Datos (OKR´s)'!$L111,$H111),"")</f>
      </c>
      <c r="S111" s="201">
        <f>IF($C111,$R111-'Proyecto Datos (OKR´s)'!$K111+1,"")</f>
      </c>
      <c r="T111" s="201">
        <f>IF($C111,MAX(0,TODAY()-'Proyecto Datos (OKR´s)'!$K111),"")</f>
      </c>
      <c r="U111" s="201">
        <f>IF($C111,MEDIAN(0,(TODAY()-'Proyecto Datos (OKR´s)'!$K111)/MAX(1,$R111-'Proyecto Datos (OKR´s)'!$K111),1),"")</f>
      </c>
      <c r="V111" s="201">
        <f>IF($C111,$I111-$U111,"")</f>
      </c>
      <c r="W111" s="201">
        <f>IF($C111,IF($J111="Completado",0,MAX(0,TODAY()-$H111)),"")</f>
      </c>
      <c r="X111" s="201">
        <f>IF($C111,IF(ISNUMBER($H111),$R111-$H111,0),"")</f>
      </c>
      <c r="Y111" s="201">
        <f>IF($C111,COUNTIFS($G$7:$G$200,$G111,$J$7:$J$200,"&lt;&gt;Completado",$J$7:$J$200,"&lt;&gt;"),"")</f>
      </c>
      <c r="Z111" s="201">
        <f>IF($C111,AND($I111=0,'Proyecto Datos (OKR´s)'!$K111&lt;=TODAY(),$J111&lt;&gt;"Completado"),"")</f>
      </c>
      <c r="AA111" s="201">
        <f>IF($C111,ROUND(100*(0.35*$AK111+0.3*$AL111+0.2*$AM111+0.15*MEDIAN(0,($Y111-4)/8,1)),0),"")</f>
      </c>
      <c r="AB111" s="202">
        <f>IF($C111,IF($J111="Completado","—",IF($AA111&gt;=70,"Crítica",IF($AA111&gt;=45,"Alta",IF($AA111&gt;=25,"Media","Baja")))),"")</f>
      </c>
      <c r="AC111" s="202">
        <f>IF($C111,IF(LEN(TRIM($AN111))=0,"—",TRIM($AN111)),"")</f>
      </c>
      <c r="AD111" s="201">
        <f>IF($C111,IF($N111=9999,9999,IF($J111="Completado",$N111,MAX($N111,'Historial de Sprints'!$C$7))),"")</f>
      </c>
      <c r="AE111" s="201">
        <f>IF($C111,IF($AD111=9999,"(Sin sprint)",$AD111),"")</f>
      </c>
      <c r="AF111" s="201">
        <f>IF($C111,AND($N111&lt;&gt;9999,$AD111&lt;&gt;$N111),FALSE)</f>
      </c>
      <c r="AG111" s="201">
        <f>IF($AF111,'Historial de Sprints'!$C$5+$N111*'Historial de Sprints'!$C$6-1,"")</f>
      </c>
      <c r="AH111" s="202">
        <f>IF($AF111,"No completada al cierre del Sprint "&amp;$N111&amp;" -&gt; reasignada al Sprint "&amp;$AD111,"")</f>
      </c>
      <c r="AI111" s="201">
        <f>IF($AF111,$N111*100000+ROW(),"")</f>
      </c>
      <c r="AJ111" s="201">
        <f>IF($C111,$AA111*1000000-MEDIAN(-9999,$K111,9999)*100+(300-ROW()),"")</f>
      </c>
      <c r="AK111" s="201">
        <f>IF($C111,IF($J111="Completado",0,IF($K111&lt;0,1,IF($K111&lt;=3,0.9,IF($K111&lt;=7,0.7,IF($K111&lt;=14,0.45,0.2))))),"")</f>
      </c>
      <c r="AL111" s="201">
        <f>IF($C111,IF($J111="Completado",0,MEDIAN(0,MAX(-$V111,$W111/30),1)),"")</f>
      </c>
      <c r="AM111" s="201">
        <f>IF($C111,IF($J111="Completado",0,IF($Z111,1,IF(AND($I111&lt;0.5,$K111&lt;=7),0.7,0.3))),"")</f>
      </c>
      <c r="AN111" s="202">
        <f>IF($C111,IF(OR($V111&lt;-0.2,$W111&gt;0),"ATRASO ","")&amp;IF($Z111,"BLOQUEO ","")&amp;IF($Y111&gt;8,"SOBRECARGA ","")&amp;IF($X111&gt;0,"DESVÍO-PLAN ",""),"")</f>
      </c>
    </row>
    <row r="112">
      <c r="A112" s="201">
        <f>ROW()</f>
      </c>
      <c r="B112" s="201">
        <f>ISTEXT('Proyecto Datos (OKR´s)'!$K112)</f>
      </c>
      <c r="C112" s="201">
        <f>AND(LEN('Proyecto Datos (OKR´s)'!$G112)&gt;0,NOT($B112),OR(ISNUMBER('Proyecto Datos (OKR´s)'!$F112),ISNUMBER('Proyecto Datos (OKR´s)'!$L112)))</f>
      </c>
      <c r="D112" s="202">
        <f>IF($C112,IFERROR(LOOKUP(2,1/((ISTEXT('Proyecto Datos (OKR´s)'!$K$7:$K112))*(LEN('Proyecto Datos (OKR´s)'!$G$7:$G112)&gt;0)),'Proyecto Datos (OKR´s)'!$G$7:$G112),""),"")</f>
      </c>
      <c r="E112" s="201">
        <f>IF($C112,'Proyecto Datos (OKR´s)'!$E112,"")</f>
      </c>
      <c r="F112" s="202">
        <f>IF($C112,'Proyecto Datos (OKR´s)'!$G112,"")</f>
      </c>
      <c r="G112" s="202">
        <f>IF($C112,IF('Proyecto Datos (OKR´s)'!$I112="","(Sin asignar)",'Proyecto Datos (OKR´s)'!$I112),"")</f>
      </c>
      <c r="H112" s="201">
        <f>IF($C112,IF(ISNUMBER('Proyecto Datos (OKR´s)'!$F112),'Proyecto Datos (OKR´s)'!$F112,'Proyecto Datos (OKR´s)'!$L112),"")</f>
      </c>
      <c r="I112" s="201">
        <f>IF($C112,'Proyecto Datos (OKR´s)'!$J112,"")</f>
      </c>
      <c r="J112" s="202">
        <f>IF($C112,IF($I112&gt;=1,"Completado",IF($H112&lt;TODAY(),"Vencido",IF(($H112-TODAY())&lt;='Entregas Próximas'!$M$3,"Próximo a vencer","En curso"))),"")</f>
      </c>
      <c r="K112" s="201">
        <f>IF($C112,$H112-TODAY(),"")</f>
      </c>
      <c r="L112" s="201">
        <f>IF($C112,$AD112*1000000+$H112+ROW()/100000,"")</f>
      </c>
      <c r="M112" s="201">
        <f>IF($C112,IF($AD112=9999,"(Sin sprint)",$AD112),"")</f>
      </c>
      <c r="N112" s="201">
        <f>IF($C112,IF('Proyecto Datos (OKR´s)'!$E112="",9999,'Proyecto Datos (OKR´s)'!$E112),"")</f>
      </c>
      <c r="O112" s="201">
        <f>IF($C112,"T"&amp;TEXT(ROW(),"000"),"")</f>
      </c>
      <c r="R112" s="201">
        <f>IF($C112,IF(ISNUMBER('Proyecto Datos (OKR´s)'!$L112),'Proyecto Datos (OKR´s)'!$L112,$H112),"")</f>
      </c>
      <c r="S112" s="201">
        <f>IF($C112,$R112-'Proyecto Datos (OKR´s)'!$K112+1,"")</f>
      </c>
      <c r="T112" s="201">
        <f>IF($C112,MAX(0,TODAY()-'Proyecto Datos (OKR´s)'!$K112),"")</f>
      </c>
      <c r="U112" s="201">
        <f>IF($C112,MEDIAN(0,(TODAY()-'Proyecto Datos (OKR´s)'!$K112)/MAX(1,$R112-'Proyecto Datos (OKR´s)'!$K112),1),"")</f>
      </c>
      <c r="V112" s="201">
        <f>IF($C112,$I112-$U112,"")</f>
      </c>
      <c r="W112" s="201">
        <f>IF($C112,IF($J112="Completado",0,MAX(0,TODAY()-$H112)),"")</f>
      </c>
      <c r="X112" s="201">
        <f>IF($C112,IF(ISNUMBER($H112),$R112-$H112,0),"")</f>
      </c>
      <c r="Y112" s="201">
        <f>IF($C112,COUNTIFS($G$7:$G$200,$G112,$J$7:$J$200,"&lt;&gt;Completado",$J$7:$J$200,"&lt;&gt;"),"")</f>
      </c>
      <c r="Z112" s="201">
        <f>IF($C112,AND($I112=0,'Proyecto Datos (OKR´s)'!$K112&lt;=TODAY(),$J112&lt;&gt;"Completado"),"")</f>
      </c>
      <c r="AA112" s="201">
        <f>IF($C112,ROUND(100*(0.35*$AK112+0.3*$AL112+0.2*$AM112+0.15*MEDIAN(0,($Y112-4)/8,1)),0),"")</f>
      </c>
      <c r="AB112" s="202">
        <f>IF($C112,IF($J112="Completado","—",IF($AA112&gt;=70,"Crítica",IF($AA112&gt;=45,"Alta",IF($AA112&gt;=25,"Media","Baja")))),"")</f>
      </c>
      <c r="AC112" s="202">
        <f>IF($C112,IF(LEN(TRIM($AN112))=0,"—",TRIM($AN112)),"")</f>
      </c>
      <c r="AD112" s="201">
        <f>IF($C112,IF($N112=9999,9999,IF($J112="Completado",$N112,MAX($N112,'Historial de Sprints'!$C$7))),"")</f>
      </c>
      <c r="AE112" s="201">
        <f>IF($C112,IF($AD112=9999,"(Sin sprint)",$AD112),"")</f>
      </c>
      <c r="AF112" s="201">
        <f>IF($C112,AND($N112&lt;&gt;9999,$AD112&lt;&gt;$N112),FALSE)</f>
      </c>
      <c r="AG112" s="201">
        <f>IF($AF112,'Historial de Sprints'!$C$5+$N112*'Historial de Sprints'!$C$6-1,"")</f>
      </c>
      <c r="AH112" s="202">
        <f>IF($AF112,"No completada al cierre del Sprint "&amp;$N112&amp;" -&gt; reasignada al Sprint "&amp;$AD112,"")</f>
      </c>
      <c r="AI112" s="201">
        <f>IF($AF112,$N112*100000+ROW(),"")</f>
      </c>
      <c r="AJ112" s="201">
        <f>IF($C112,$AA112*1000000-MEDIAN(-9999,$K112,9999)*100+(300-ROW()),"")</f>
      </c>
      <c r="AK112" s="201">
        <f>IF($C112,IF($J112="Completado",0,IF($K112&lt;0,1,IF($K112&lt;=3,0.9,IF($K112&lt;=7,0.7,IF($K112&lt;=14,0.45,0.2))))),"")</f>
      </c>
      <c r="AL112" s="201">
        <f>IF($C112,IF($J112="Completado",0,MEDIAN(0,MAX(-$V112,$W112/30),1)),"")</f>
      </c>
      <c r="AM112" s="201">
        <f>IF($C112,IF($J112="Completado",0,IF($Z112,1,IF(AND($I112&lt;0.5,$K112&lt;=7),0.7,0.3))),"")</f>
      </c>
      <c r="AN112" s="202">
        <f>IF($C112,IF(OR($V112&lt;-0.2,$W112&gt;0),"ATRASO ","")&amp;IF($Z112,"BLOQUEO ","")&amp;IF($Y112&gt;8,"SOBRECARGA ","")&amp;IF($X112&gt;0,"DESVÍO-PLAN ",""),"")</f>
      </c>
    </row>
    <row r="113">
      <c r="A113" s="201">
        <f>ROW()</f>
      </c>
      <c r="B113" s="201">
        <f>ISTEXT('Proyecto Datos (OKR´s)'!$K113)</f>
      </c>
      <c r="C113" s="201">
        <f>AND(LEN('Proyecto Datos (OKR´s)'!$G113)&gt;0,NOT($B113),OR(ISNUMBER('Proyecto Datos (OKR´s)'!$F113),ISNUMBER('Proyecto Datos (OKR´s)'!$L113)))</f>
      </c>
      <c r="D113" s="202">
        <f>IF($C113,IFERROR(LOOKUP(2,1/((ISTEXT('Proyecto Datos (OKR´s)'!$K$7:$K113))*(LEN('Proyecto Datos (OKR´s)'!$G$7:$G113)&gt;0)),'Proyecto Datos (OKR´s)'!$G$7:$G113),""),"")</f>
      </c>
      <c r="E113" s="201">
        <f>IF($C113,'Proyecto Datos (OKR´s)'!$E113,"")</f>
      </c>
      <c r="F113" s="202">
        <f>IF($C113,'Proyecto Datos (OKR´s)'!$G113,"")</f>
      </c>
      <c r="G113" s="202">
        <f>IF($C113,IF('Proyecto Datos (OKR´s)'!$I113="","(Sin asignar)",'Proyecto Datos (OKR´s)'!$I113),"")</f>
      </c>
      <c r="H113" s="201">
        <f>IF($C113,IF(ISNUMBER('Proyecto Datos (OKR´s)'!$F113),'Proyecto Datos (OKR´s)'!$F113,'Proyecto Datos (OKR´s)'!$L113),"")</f>
      </c>
      <c r="I113" s="201">
        <f>IF($C113,'Proyecto Datos (OKR´s)'!$J113,"")</f>
      </c>
      <c r="J113" s="202">
        <f>IF($C113,IF($I113&gt;=1,"Completado",IF($H113&lt;TODAY(),"Vencido",IF(($H113-TODAY())&lt;='Entregas Próximas'!$M$3,"Próximo a vencer","En curso"))),"")</f>
      </c>
      <c r="K113" s="201">
        <f>IF($C113,$H113-TODAY(),"")</f>
      </c>
      <c r="L113" s="201">
        <f>IF($C113,$AD113*1000000+$H113+ROW()/100000,"")</f>
      </c>
      <c r="M113" s="201">
        <f>IF($C113,IF($AD113=9999,"(Sin sprint)",$AD113),"")</f>
      </c>
      <c r="N113" s="201">
        <f>IF($C113,IF('Proyecto Datos (OKR´s)'!$E113="",9999,'Proyecto Datos (OKR´s)'!$E113),"")</f>
      </c>
      <c r="O113" s="201">
        <f>IF($C113,"T"&amp;TEXT(ROW(),"000"),"")</f>
      </c>
      <c r="R113" s="201">
        <f>IF($C113,IF(ISNUMBER('Proyecto Datos (OKR´s)'!$L113),'Proyecto Datos (OKR´s)'!$L113,$H113),"")</f>
      </c>
      <c r="S113" s="201">
        <f>IF($C113,$R113-'Proyecto Datos (OKR´s)'!$K113+1,"")</f>
      </c>
      <c r="T113" s="201">
        <f>IF($C113,MAX(0,TODAY()-'Proyecto Datos (OKR´s)'!$K113),"")</f>
      </c>
      <c r="U113" s="201">
        <f>IF($C113,MEDIAN(0,(TODAY()-'Proyecto Datos (OKR´s)'!$K113)/MAX(1,$R113-'Proyecto Datos (OKR´s)'!$K113),1),"")</f>
      </c>
      <c r="V113" s="201">
        <f>IF($C113,$I113-$U113,"")</f>
      </c>
      <c r="W113" s="201">
        <f>IF($C113,IF($J113="Completado",0,MAX(0,TODAY()-$H113)),"")</f>
      </c>
      <c r="X113" s="201">
        <f>IF($C113,IF(ISNUMBER($H113),$R113-$H113,0),"")</f>
      </c>
      <c r="Y113" s="201">
        <f>IF($C113,COUNTIFS($G$7:$G$200,$G113,$J$7:$J$200,"&lt;&gt;Completado",$J$7:$J$200,"&lt;&gt;"),"")</f>
      </c>
      <c r="Z113" s="201">
        <f>IF($C113,AND($I113=0,'Proyecto Datos (OKR´s)'!$K113&lt;=TODAY(),$J113&lt;&gt;"Completado"),"")</f>
      </c>
      <c r="AA113" s="201">
        <f>IF($C113,ROUND(100*(0.35*$AK113+0.3*$AL113+0.2*$AM113+0.15*MEDIAN(0,($Y113-4)/8,1)),0),"")</f>
      </c>
      <c r="AB113" s="202">
        <f>IF($C113,IF($J113="Completado","—",IF($AA113&gt;=70,"Crítica",IF($AA113&gt;=45,"Alta",IF($AA113&gt;=25,"Media","Baja")))),"")</f>
      </c>
      <c r="AC113" s="202">
        <f>IF($C113,IF(LEN(TRIM($AN113))=0,"—",TRIM($AN113)),"")</f>
      </c>
      <c r="AD113" s="201">
        <f>IF($C113,IF($N113=9999,9999,IF($J113="Completado",$N113,MAX($N113,'Historial de Sprints'!$C$7))),"")</f>
      </c>
      <c r="AE113" s="201">
        <f>IF($C113,IF($AD113=9999,"(Sin sprint)",$AD113),"")</f>
      </c>
      <c r="AF113" s="201">
        <f>IF($C113,AND($N113&lt;&gt;9999,$AD113&lt;&gt;$N113),FALSE)</f>
      </c>
      <c r="AG113" s="201">
        <f>IF($AF113,'Historial de Sprints'!$C$5+$N113*'Historial de Sprints'!$C$6-1,"")</f>
      </c>
      <c r="AH113" s="202">
        <f>IF($AF113,"No completada al cierre del Sprint "&amp;$N113&amp;" -&gt; reasignada al Sprint "&amp;$AD113,"")</f>
      </c>
      <c r="AI113" s="201">
        <f>IF($AF113,$N113*100000+ROW(),"")</f>
      </c>
      <c r="AJ113" s="201">
        <f>IF($C113,$AA113*1000000-MEDIAN(-9999,$K113,9999)*100+(300-ROW()),"")</f>
      </c>
      <c r="AK113" s="201">
        <f>IF($C113,IF($J113="Completado",0,IF($K113&lt;0,1,IF($K113&lt;=3,0.9,IF($K113&lt;=7,0.7,IF($K113&lt;=14,0.45,0.2))))),"")</f>
      </c>
      <c r="AL113" s="201">
        <f>IF($C113,IF($J113="Completado",0,MEDIAN(0,MAX(-$V113,$W113/30),1)),"")</f>
      </c>
      <c r="AM113" s="201">
        <f>IF($C113,IF($J113="Completado",0,IF($Z113,1,IF(AND($I113&lt;0.5,$K113&lt;=7),0.7,0.3))),"")</f>
      </c>
      <c r="AN113" s="202">
        <f>IF($C113,IF(OR($V113&lt;-0.2,$W113&gt;0),"ATRASO ","")&amp;IF($Z113,"BLOQUEO ","")&amp;IF($Y113&gt;8,"SOBRECARGA ","")&amp;IF($X113&gt;0,"DESVÍO-PLAN ",""),"")</f>
      </c>
    </row>
    <row r="114">
      <c r="A114" s="201">
        <f>ROW()</f>
      </c>
      <c r="B114" s="201">
        <f>ISTEXT('Proyecto Datos (OKR´s)'!$K114)</f>
      </c>
      <c r="C114" s="201">
        <f>AND(LEN('Proyecto Datos (OKR´s)'!$G114)&gt;0,NOT($B114),OR(ISNUMBER('Proyecto Datos (OKR´s)'!$F114),ISNUMBER('Proyecto Datos (OKR´s)'!$L114)))</f>
      </c>
      <c r="D114" s="202">
        <f>IF($C114,IFERROR(LOOKUP(2,1/((ISTEXT('Proyecto Datos (OKR´s)'!$K$7:$K114))*(LEN('Proyecto Datos (OKR´s)'!$G$7:$G114)&gt;0)),'Proyecto Datos (OKR´s)'!$G$7:$G114),""),"")</f>
      </c>
      <c r="E114" s="201">
        <f>IF($C114,'Proyecto Datos (OKR´s)'!$E114,"")</f>
      </c>
      <c r="F114" s="202">
        <f>IF($C114,'Proyecto Datos (OKR´s)'!$G114,"")</f>
      </c>
      <c r="G114" s="202">
        <f>IF($C114,IF('Proyecto Datos (OKR´s)'!$I114="","(Sin asignar)",'Proyecto Datos (OKR´s)'!$I114),"")</f>
      </c>
      <c r="H114" s="201">
        <f>IF($C114,IF(ISNUMBER('Proyecto Datos (OKR´s)'!$F114),'Proyecto Datos (OKR´s)'!$F114,'Proyecto Datos (OKR´s)'!$L114),"")</f>
      </c>
      <c r="I114" s="201">
        <f>IF($C114,'Proyecto Datos (OKR´s)'!$J114,"")</f>
      </c>
      <c r="J114" s="202">
        <f>IF($C114,IF($I114&gt;=1,"Completado",IF($H114&lt;TODAY(),"Vencido",IF(($H114-TODAY())&lt;='Entregas Próximas'!$M$3,"Próximo a vencer","En curso"))),"")</f>
      </c>
      <c r="K114" s="201">
        <f>IF($C114,$H114-TODAY(),"")</f>
      </c>
      <c r="L114" s="201">
        <f>IF($C114,$AD114*1000000+$H114+ROW()/100000,"")</f>
      </c>
      <c r="M114" s="201">
        <f>IF($C114,IF($AD114=9999,"(Sin sprint)",$AD114),"")</f>
      </c>
      <c r="N114" s="201">
        <f>IF($C114,IF('Proyecto Datos (OKR´s)'!$E114="",9999,'Proyecto Datos (OKR´s)'!$E114),"")</f>
      </c>
      <c r="O114" s="201">
        <f>IF($C114,"T"&amp;TEXT(ROW(),"000"),"")</f>
      </c>
      <c r="R114" s="201">
        <f>IF($C114,IF(ISNUMBER('Proyecto Datos (OKR´s)'!$L114),'Proyecto Datos (OKR´s)'!$L114,$H114),"")</f>
      </c>
      <c r="S114" s="201">
        <f>IF($C114,$R114-'Proyecto Datos (OKR´s)'!$K114+1,"")</f>
      </c>
      <c r="T114" s="201">
        <f>IF($C114,MAX(0,TODAY()-'Proyecto Datos (OKR´s)'!$K114),"")</f>
      </c>
      <c r="U114" s="201">
        <f>IF($C114,MEDIAN(0,(TODAY()-'Proyecto Datos (OKR´s)'!$K114)/MAX(1,$R114-'Proyecto Datos (OKR´s)'!$K114),1),"")</f>
      </c>
      <c r="V114" s="201">
        <f>IF($C114,$I114-$U114,"")</f>
      </c>
      <c r="W114" s="201">
        <f>IF($C114,IF($J114="Completado",0,MAX(0,TODAY()-$H114)),"")</f>
      </c>
      <c r="X114" s="201">
        <f>IF($C114,IF(ISNUMBER($H114),$R114-$H114,0),"")</f>
      </c>
      <c r="Y114" s="201">
        <f>IF($C114,COUNTIFS($G$7:$G$200,$G114,$J$7:$J$200,"&lt;&gt;Completado",$J$7:$J$200,"&lt;&gt;"),"")</f>
      </c>
      <c r="Z114" s="201">
        <f>IF($C114,AND($I114=0,'Proyecto Datos (OKR´s)'!$K114&lt;=TODAY(),$J114&lt;&gt;"Completado"),"")</f>
      </c>
      <c r="AA114" s="201">
        <f>IF($C114,ROUND(100*(0.35*$AK114+0.3*$AL114+0.2*$AM114+0.15*MEDIAN(0,($Y114-4)/8,1)),0),"")</f>
      </c>
      <c r="AB114" s="202">
        <f>IF($C114,IF($J114="Completado","—",IF($AA114&gt;=70,"Crítica",IF($AA114&gt;=45,"Alta",IF($AA114&gt;=25,"Media","Baja")))),"")</f>
      </c>
      <c r="AC114" s="202">
        <f>IF($C114,IF(LEN(TRIM($AN114))=0,"—",TRIM($AN114)),"")</f>
      </c>
      <c r="AD114" s="201">
        <f>IF($C114,IF($N114=9999,9999,IF($J114="Completado",$N114,MAX($N114,'Historial de Sprints'!$C$7))),"")</f>
      </c>
      <c r="AE114" s="201">
        <f>IF($C114,IF($AD114=9999,"(Sin sprint)",$AD114),"")</f>
      </c>
      <c r="AF114" s="201">
        <f>IF($C114,AND($N114&lt;&gt;9999,$AD114&lt;&gt;$N114),FALSE)</f>
      </c>
      <c r="AG114" s="201">
        <f>IF($AF114,'Historial de Sprints'!$C$5+$N114*'Historial de Sprints'!$C$6-1,"")</f>
      </c>
      <c r="AH114" s="202">
        <f>IF($AF114,"No completada al cierre del Sprint "&amp;$N114&amp;" -&gt; reasignada al Sprint "&amp;$AD114,"")</f>
      </c>
      <c r="AI114" s="201">
        <f>IF($AF114,$N114*100000+ROW(),"")</f>
      </c>
      <c r="AJ114" s="201">
        <f>IF($C114,$AA114*1000000-MEDIAN(-9999,$K114,9999)*100+(300-ROW()),"")</f>
      </c>
      <c r="AK114" s="201">
        <f>IF($C114,IF($J114="Completado",0,IF($K114&lt;0,1,IF($K114&lt;=3,0.9,IF($K114&lt;=7,0.7,IF($K114&lt;=14,0.45,0.2))))),"")</f>
      </c>
      <c r="AL114" s="201">
        <f>IF($C114,IF($J114="Completado",0,MEDIAN(0,MAX(-$V114,$W114/30),1)),"")</f>
      </c>
      <c r="AM114" s="201">
        <f>IF($C114,IF($J114="Completado",0,IF($Z114,1,IF(AND($I114&lt;0.5,$K114&lt;=7),0.7,0.3))),"")</f>
      </c>
      <c r="AN114" s="202">
        <f>IF($C114,IF(OR($V114&lt;-0.2,$W114&gt;0),"ATRASO ","")&amp;IF($Z114,"BLOQUEO ","")&amp;IF($Y114&gt;8,"SOBRECARGA ","")&amp;IF($X114&gt;0,"DESVÍO-PLAN ",""),"")</f>
      </c>
    </row>
    <row r="115">
      <c r="A115" s="201">
        <f>ROW()</f>
      </c>
      <c r="B115" s="201">
        <f>ISTEXT('Proyecto Datos (OKR´s)'!$K115)</f>
      </c>
      <c r="C115" s="201">
        <f>AND(LEN('Proyecto Datos (OKR´s)'!$G115)&gt;0,NOT($B115),OR(ISNUMBER('Proyecto Datos (OKR´s)'!$F115),ISNUMBER('Proyecto Datos (OKR´s)'!$L115)))</f>
      </c>
      <c r="D115" s="202">
        <f>IF($C115,IFERROR(LOOKUP(2,1/((ISTEXT('Proyecto Datos (OKR´s)'!$K$7:$K115))*(LEN('Proyecto Datos (OKR´s)'!$G$7:$G115)&gt;0)),'Proyecto Datos (OKR´s)'!$G$7:$G115),""),"")</f>
      </c>
      <c r="E115" s="201">
        <f>IF($C115,'Proyecto Datos (OKR´s)'!$E115,"")</f>
      </c>
      <c r="F115" s="202">
        <f>IF($C115,'Proyecto Datos (OKR´s)'!$G115,"")</f>
      </c>
      <c r="G115" s="202">
        <f>IF($C115,IF('Proyecto Datos (OKR´s)'!$I115="","(Sin asignar)",'Proyecto Datos (OKR´s)'!$I115),"")</f>
      </c>
      <c r="H115" s="201">
        <f>IF($C115,IF(ISNUMBER('Proyecto Datos (OKR´s)'!$F115),'Proyecto Datos (OKR´s)'!$F115,'Proyecto Datos (OKR´s)'!$L115),"")</f>
      </c>
      <c r="I115" s="201">
        <f>IF($C115,'Proyecto Datos (OKR´s)'!$J115,"")</f>
      </c>
      <c r="J115" s="202">
        <f>IF($C115,IF($I115&gt;=1,"Completado",IF($H115&lt;TODAY(),"Vencido",IF(($H115-TODAY())&lt;='Entregas Próximas'!$M$3,"Próximo a vencer","En curso"))),"")</f>
      </c>
      <c r="K115" s="201">
        <f>IF($C115,$H115-TODAY(),"")</f>
      </c>
      <c r="L115" s="201">
        <f>IF($C115,$AD115*1000000+$H115+ROW()/100000,"")</f>
      </c>
      <c r="M115" s="201">
        <f>IF($C115,IF($AD115=9999,"(Sin sprint)",$AD115),"")</f>
      </c>
      <c r="N115" s="201">
        <f>IF($C115,IF('Proyecto Datos (OKR´s)'!$E115="",9999,'Proyecto Datos (OKR´s)'!$E115),"")</f>
      </c>
      <c r="O115" s="201">
        <f>IF($C115,"T"&amp;TEXT(ROW(),"000"),"")</f>
      </c>
      <c r="R115" s="201">
        <f>IF($C115,IF(ISNUMBER('Proyecto Datos (OKR´s)'!$L115),'Proyecto Datos (OKR´s)'!$L115,$H115),"")</f>
      </c>
      <c r="S115" s="201">
        <f>IF($C115,$R115-'Proyecto Datos (OKR´s)'!$K115+1,"")</f>
      </c>
      <c r="T115" s="201">
        <f>IF($C115,MAX(0,TODAY()-'Proyecto Datos (OKR´s)'!$K115),"")</f>
      </c>
      <c r="U115" s="201">
        <f>IF($C115,MEDIAN(0,(TODAY()-'Proyecto Datos (OKR´s)'!$K115)/MAX(1,$R115-'Proyecto Datos (OKR´s)'!$K115),1),"")</f>
      </c>
      <c r="V115" s="201">
        <f>IF($C115,$I115-$U115,"")</f>
      </c>
      <c r="W115" s="201">
        <f>IF($C115,IF($J115="Completado",0,MAX(0,TODAY()-$H115)),"")</f>
      </c>
      <c r="X115" s="201">
        <f>IF($C115,IF(ISNUMBER($H115),$R115-$H115,0),"")</f>
      </c>
      <c r="Y115" s="201">
        <f>IF($C115,COUNTIFS($G$7:$G$200,$G115,$J$7:$J$200,"&lt;&gt;Completado",$J$7:$J$200,"&lt;&gt;"),"")</f>
      </c>
      <c r="Z115" s="201">
        <f>IF($C115,AND($I115=0,'Proyecto Datos (OKR´s)'!$K115&lt;=TODAY(),$J115&lt;&gt;"Completado"),"")</f>
      </c>
      <c r="AA115" s="201">
        <f>IF($C115,ROUND(100*(0.35*$AK115+0.3*$AL115+0.2*$AM115+0.15*MEDIAN(0,($Y115-4)/8,1)),0),"")</f>
      </c>
      <c r="AB115" s="202">
        <f>IF($C115,IF($J115="Completado","—",IF($AA115&gt;=70,"Crítica",IF($AA115&gt;=45,"Alta",IF($AA115&gt;=25,"Media","Baja")))),"")</f>
      </c>
      <c r="AC115" s="202">
        <f>IF($C115,IF(LEN(TRIM($AN115))=0,"—",TRIM($AN115)),"")</f>
      </c>
      <c r="AD115" s="201">
        <f>IF($C115,IF($N115=9999,9999,IF($J115="Completado",$N115,MAX($N115,'Historial de Sprints'!$C$7))),"")</f>
      </c>
      <c r="AE115" s="201">
        <f>IF($C115,IF($AD115=9999,"(Sin sprint)",$AD115),"")</f>
      </c>
      <c r="AF115" s="201">
        <f>IF($C115,AND($N115&lt;&gt;9999,$AD115&lt;&gt;$N115),FALSE)</f>
      </c>
      <c r="AG115" s="201">
        <f>IF($AF115,'Historial de Sprints'!$C$5+$N115*'Historial de Sprints'!$C$6-1,"")</f>
      </c>
      <c r="AH115" s="202">
        <f>IF($AF115,"No completada al cierre del Sprint "&amp;$N115&amp;" -&gt; reasignada al Sprint "&amp;$AD115,"")</f>
      </c>
      <c r="AI115" s="201">
        <f>IF($AF115,$N115*100000+ROW(),"")</f>
      </c>
      <c r="AJ115" s="201">
        <f>IF($C115,$AA115*1000000-MEDIAN(-9999,$K115,9999)*100+(300-ROW()),"")</f>
      </c>
      <c r="AK115" s="201">
        <f>IF($C115,IF($J115="Completado",0,IF($K115&lt;0,1,IF($K115&lt;=3,0.9,IF($K115&lt;=7,0.7,IF($K115&lt;=14,0.45,0.2))))),"")</f>
      </c>
      <c r="AL115" s="201">
        <f>IF($C115,IF($J115="Completado",0,MEDIAN(0,MAX(-$V115,$W115/30),1)),"")</f>
      </c>
      <c r="AM115" s="201">
        <f>IF($C115,IF($J115="Completado",0,IF($Z115,1,IF(AND($I115&lt;0.5,$K115&lt;=7),0.7,0.3))),"")</f>
      </c>
      <c r="AN115" s="202">
        <f>IF($C115,IF(OR($V115&lt;-0.2,$W115&gt;0),"ATRASO ","")&amp;IF($Z115,"BLOQUEO ","")&amp;IF($Y115&gt;8,"SOBRECARGA ","")&amp;IF($X115&gt;0,"DESVÍO-PLAN ",""),"")</f>
      </c>
    </row>
    <row r="116">
      <c r="A116" s="201">
        <f>ROW()</f>
      </c>
      <c r="B116" s="201">
        <f>ISTEXT('Proyecto Datos (OKR´s)'!$K116)</f>
      </c>
      <c r="C116" s="201">
        <f>AND(LEN('Proyecto Datos (OKR´s)'!$G116)&gt;0,NOT($B116),OR(ISNUMBER('Proyecto Datos (OKR´s)'!$F116),ISNUMBER('Proyecto Datos (OKR´s)'!$L116)))</f>
      </c>
      <c r="D116" s="202">
        <f>IF($C116,IFERROR(LOOKUP(2,1/((ISTEXT('Proyecto Datos (OKR´s)'!$K$7:$K116))*(LEN('Proyecto Datos (OKR´s)'!$G$7:$G116)&gt;0)),'Proyecto Datos (OKR´s)'!$G$7:$G116),""),"")</f>
      </c>
      <c r="E116" s="201">
        <f>IF($C116,'Proyecto Datos (OKR´s)'!$E116,"")</f>
      </c>
      <c r="F116" s="202">
        <f>IF($C116,'Proyecto Datos (OKR´s)'!$G116,"")</f>
      </c>
      <c r="G116" s="202">
        <f>IF($C116,IF('Proyecto Datos (OKR´s)'!$I116="","(Sin asignar)",'Proyecto Datos (OKR´s)'!$I116),"")</f>
      </c>
      <c r="H116" s="201">
        <f>IF($C116,IF(ISNUMBER('Proyecto Datos (OKR´s)'!$F116),'Proyecto Datos (OKR´s)'!$F116,'Proyecto Datos (OKR´s)'!$L116),"")</f>
      </c>
      <c r="I116" s="201">
        <f>IF($C116,'Proyecto Datos (OKR´s)'!$J116,"")</f>
      </c>
      <c r="J116" s="202">
        <f>IF($C116,IF($I116&gt;=1,"Completado",IF($H116&lt;TODAY(),"Vencido",IF(($H116-TODAY())&lt;='Entregas Próximas'!$M$3,"Próximo a vencer","En curso"))),"")</f>
      </c>
      <c r="K116" s="201">
        <f>IF($C116,$H116-TODAY(),"")</f>
      </c>
      <c r="L116" s="201">
        <f>IF($C116,$AD116*1000000+$H116+ROW()/100000,"")</f>
      </c>
      <c r="M116" s="201">
        <f>IF($C116,IF($AD116=9999,"(Sin sprint)",$AD116),"")</f>
      </c>
      <c r="N116" s="201">
        <f>IF($C116,IF('Proyecto Datos (OKR´s)'!$E116="",9999,'Proyecto Datos (OKR´s)'!$E116),"")</f>
      </c>
      <c r="O116" s="201">
        <f>IF($C116,"T"&amp;TEXT(ROW(),"000"),"")</f>
      </c>
      <c r="R116" s="201">
        <f>IF($C116,IF(ISNUMBER('Proyecto Datos (OKR´s)'!$L116),'Proyecto Datos (OKR´s)'!$L116,$H116),"")</f>
      </c>
      <c r="S116" s="201">
        <f>IF($C116,$R116-'Proyecto Datos (OKR´s)'!$K116+1,"")</f>
      </c>
      <c r="T116" s="201">
        <f>IF($C116,MAX(0,TODAY()-'Proyecto Datos (OKR´s)'!$K116),"")</f>
      </c>
      <c r="U116" s="201">
        <f>IF($C116,MEDIAN(0,(TODAY()-'Proyecto Datos (OKR´s)'!$K116)/MAX(1,$R116-'Proyecto Datos (OKR´s)'!$K116),1),"")</f>
      </c>
      <c r="V116" s="201">
        <f>IF($C116,$I116-$U116,"")</f>
      </c>
      <c r="W116" s="201">
        <f>IF($C116,IF($J116="Completado",0,MAX(0,TODAY()-$H116)),"")</f>
      </c>
      <c r="X116" s="201">
        <f>IF($C116,IF(ISNUMBER($H116),$R116-$H116,0),"")</f>
      </c>
      <c r="Y116" s="201">
        <f>IF($C116,COUNTIFS($G$7:$G$200,$G116,$J$7:$J$200,"&lt;&gt;Completado",$J$7:$J$200,"&lt;&gt;"),"")</f>
      </c>
      <c r="Z116" s="201">
        <f>IF($C116,AND($I116=0,'Proyecto Datos (OKR´s)'!$K116&lt;=TODAY(),$J116&lt;&gt;"Completado"),"")</f>
      </c>
      <c r="AA116" s="201">
        <f>IF($C116,ROUND(100*(0.35*$AK116+0.3*$AL116+0.2*$AM116+0.15*MEDIAN(0,($Y116-4)/8,1)),0),"")</f>
      </c>
      <c r="AB116" s="202">
        <f>IF($C116,IF($J116="Completado","—",IF($AA116&gt;=70,"Crítica",IF($AA116&gt;=45,"Alta",IF($AA116&gt;=25,"Media","Baja")))),"")</f>
      </c>
      <c r="AC116" s="202">
        <f>IF($C116,IF(LEN(TRIM($AN116))=0,"—",TRIM($AN116)),"")</f>
      </c>
      <c r="AD116" s="201">
        <f>IF($C116,IF($N116=9999,9999,IF($J116="Completado",$N116,MAX($N116,'Historial de Sprints'!$C$7))),"")</f>
      </c>
      <c r="AE116" s="201">
        <f>IF($C116,IF($AD116=9999,"(Sin sprint)",$AD116),"")</f>
      </c>
      <c r="AF116" s="201">
        <f>IF($C116,AND($N116&lt;&gt;9999,$AD116&lt;&gt;$N116),FALSE)</f>
      </c>
      <c r="AG116" s="201">
        <f>IF($AF116,'Historial de Sprints'!$C$5+$N116*'Historial de Sprints'!$C$6-1,"")</f>
      </c>
      <c r="AH116" s="202">
        <f>IF($AF116,"No completada al cierre del Sprint "&amp;$N116&amp;" -&gt; reasignada al Sprint "&amp;$AD116,"")</f>
      </c>
      <c r="AI116" s="201">
        <f>IF($AF116,$N116*100000+ROW(),"")</f>
      </c>
      <c r="AJ116" s="201">
        <f>IF($C116,$AA116*1000000-MEDIAN(-9999,$K116,9999)*100+(300-ROW()),"")</f>
      </c>
      <c r="AK116" s="201">
        <f>IF($C116,IF($J116="Completado",0,IF($K116&lt;0,1,IF($K116&lt;=3,0.9,IF($K116&lt;=7,0.7,IF($K116&lt;=14,0.45,0.2))))),"")</f>
      </c>
      <c r="AL116" s="201">
        <f>IF($C116,IF($J116="Completado",0,MEDIAN(0,MAX(-$V116,$W116/30),1)),"")</f>
      </c>
      <c r="AM116" s="201">
        <f>IF($C116,IF($J116="Completado",0,IF($Z116,1,IF(AND($I116&lt;0.5,$K116&lt;=7),0.7,0.3))),"")</f>
      </c>
      <c r="AN116" s="202">
        <f>IF($C116,IF(OR($V116&lt;-0.2,$W116&gt;0),"ATRASO ","")&amp;IF($Z116,"BLOQUEO ","")&amp;IF($Y116&gt;8,"SOBRECARGA ","")&amp;IF($X116&gt;0,"DESVÍO-PLAN ",""),"")</f>
      </c>
    </row>
    <row r="117">
      <c r="A117" s="201">
        <f>ROW()</f>
      </c>
      <c r="B117" s="201">
        <f>ISTEXT('Proyecto Datos (OKR´s)'!$K117)</f>
      </c>
      <c r="C117" s="201">
        <f>AND(LEN('Proyecto Datos (OKR´s)'!$G117)&gt;0,NOT($B117),OR(ISNUMBER('Proyecto Datos (OKR´s)'!$F117),ISNUMBER('Proyecto Datos (OKR´s)'!$L117)))</f>
      </c>
      <c r="D117" s="202">
        <f>IF($C117,IFERROR(LOOKUP(2,1/((ISTEXT('Proyecto Datos (OKR´s)'!$K$7:$K117))*(LEN('Proyecto Datos (OKR´s)'!$G$7:$G117)&gt;0)),'Proyecto Datos (OKR´s)'!$G$7:$G117),""),"")</f>
      </c>
      <c r="E117" s="201">
        <f>IF($C117,'Proyecto Datos (OKR´s)'!$E117,"")</f>
      </c>
      <c r="F117" s="202">
        <f>IF($C117,'Proyecto Datos (OKR´s)'!$G117,"")</f>
      </c>
      <c r="G117" s="202">
        <f>IF($C117,IF('Proyecto Datos (OKR´s)'!$I117="","(Sin asignar)",'Proyecto Datos (OKR´s)'!$I117),"")</f>
      </c>
      <c r="H117" s="201">
        <f>IF($C117,IF(ISNUMBER('Proyecto Datos (OKR´s)'!$F117),'Proyecto Datos (OKR´s)'!$F117,'Proyecto Datos (OKR´s)'!$L117),"")</f>
      </c>
      <c r="I117" s="201">
        <f>IF($C117,'Proyecto Datos (OKR´s)'!$J117,"")</f>
      </c>
      <c r="J117" s="202">
        <f>IF($C117,IF($I117&gt;=1,"Completado",IF($H117&lt;TODAY(),"Vencido",IF(($H117-TODAY())&lt;='Entregas Próximas'!$M$3,"Próximo a vencer","En curso"))),"")</f>
      </c>
      <c r="K117" s="201">
        <f>IF($C117,$H117-TODAY(),"")</f>
      </c>
      <c r="L117" s="201">
        <f>IF($C117,$AD117*1000000+$H117+ROW()/100000,"")</f>
      </c>
      <c r="M117" s="201">
        <f>IF($C117,IF($AD117=9999,"(Sin sprint)",$AD117),"")</f>
      </c>
      <c r="N117" s="201">
        <f>IF($C117,IF('Proyecto Datos (OKR´s)'!$E117="",9999,'Proyecto Datos (OKR´s)'!$E117),"")</f>
      </c>
      <c r="O117" s="201">
        <f>IF($C117,"T"&amp;TEXT(ROW(),"000"),"")</f>
      </c>
      <c r="R117" s="201">
        <f>IF($C117,IF(ISNUMBER('Proyecto Datos (OKR´s)'!$L117),'Proyecto Datos (OKR´s)'!$L117,$H117),"")</f>
      </c>
      <c r="S117" s="201">
        <f>IF($C117,$R117-'Proyecto Datos (OKR´s)'!$K117+1,"")</f>
      </c>
      <c r="T117" s="201">
        <f>IF($C117,MAX(0,TODAY()-'Proyecto Datos (OKR´s)'!$K117),"")</f>
      </c>
      <c r="U117" s="201">
        <f>IF($C117,MEDIAN(0,(TODAY()-'Proyecto Datos (OKR´s)'!$K117)/MAX(1,$R117-'Proyecto Datos (OKR´s)'!$K117),1),"")</f>
      </c>
      <c r="V117" s="201">
        <f>IF($C117,$I117-$U117,"")</f>
      </c>
      <c r="W117" s="201">
        <f>IF($C117,IF($J117="Completado",0,MAX(0,TODAY()-$H117)),"")</f>
      </c>
      <c r="X117" s="201">
        <f>IF($C117,IF(ISNUMBER($H117),$R117-$H117,0),"")</f>
      </c>
      <c r="Y117" s="201">
        <f>IF($C117,COUNTIFS($G$7:$G$200,$G117,$J$7:$J$200,"&lt;&gt;Completado",$J$7:$J$200,"&lt;&gt;"),"")</f>
      </c>
      <c r="Z117" s="201">
        <f>IF($C117,AND($I117=0,'Proyecto Datos (OKR´s)'!$K117&lt;=TODAY(),$J117&lt;&gt;"Completado"),"")</f>
      </c>
      <c r="AA117" s="201">
        <f>IF($C117,ROUND(100*(0.35*$AK117+0.3*$AL117+0.2*$AM117+0.15*MEDIAN(0,($Y117-4)/8,1)),0),"")</f>
      </c>
      <c r="AB117" s="202">
        <f>IF($C117,IF($J117="Completado","—",IF($AA117&gt;=70,"Crítica",IF($AA117&gt;=45,"Alta",IF($AA117&gt;=25,"Media","Baja")))),"")</f>
      </c>
      <c r="AC117" s="202">
        <f>IF($C117,IF(LEN(TRIM($AN117))=0,"—",TRIM($AN117)),"")</f>
      </c>
      <c r="AD117" s="201">
        <f>IF($C117,IF($N117=9999,9999,IF($J117="Completado",$N117,MAX($N117,'Historial de Sprints'!$C$7))),"")</f>
      </c>
      <c r="AE117" s="201">
        <f>IF($C117,IF($AD117=9999,"(Sin sprint)",$AD117),"")</f>
      </c>
      <c r="AF117" s="201">
        <f>IF($C117,AND($N117&lt;&gt;9999,$AD117&lt;&gt;$N117),FALSE)</f>
      </c>
      <c r="AG117" s="201">
        <f>IF($AF117,'Historial de Sprints'!$C$5+$N117*'Historial de Sprints'!$C$6-1,"")</f>
      </c>
      <c r="AH117" s="202">
        <f>IF($AF117,"No completada al cierre del Sprint "&amp;$N117&amp;" -&gt; reasignada al Sprint "&amp;$AD117,"")</f>
      </c>
      <c r="AI117" s="201">
        <f>IF($AF117,$N117*100000+ROW(),"")</f>
      </c>
      <c r="AJ117" s="201">
        <f>IF($C117,$AA117*1000000-MEDIAN(-9999,$K117,9999)*100+(300-ROW()),"")</f>
      </c>
      <c r="AK117" s="201">
        <f>IF($C117,IF($J117="Completado",0,IF($K117&lt;0,1,IF($K117&lt;=3,0.9,IF($K117&lt;=7,0.7,IF($K117&lt;=14,0.45,0.2))))),"")</f>
      </c>
      <c r="AL117" s="201">
        <f>IF($C117,IF($J117="Completado",0,MEDIAN(0,MAX(-$V117,$W117/30),1)),"")</f>
      </c>
      <c r="AM117" s="201">
        <f>IF($C117,IF($J117="Completado",0,IF($Z117,1,IF(AND($I117&lt;0.5,$K117&lt;=7),0.7,0.3))),"")</f>
      </c>
      <c r="AN117" s="202">
        <f>IF($C117,IF(OR($V117&lt;-0.2,$W117&gt;0),"ATRASO ","")&amp;IF($Z117,"BLOQUEO ","")&amp;IF($Y117&gt;8,"SOBRECARGA ","")&amp;IF($X117&gt;0,"DESVÍO-PLAN ",""),"")</f>
      </c>
    </row>
    <row r="118">
      <c r="A118" s="201">
        <f>ROW()</f>
      </c>
      <c r="B118" s="201">
        <f>ISTEXT('Proyecto Datos (OKR´s)'!$K118)</f>
      </c>
      <c r="C118" s="201">
        <f>AND(LEN('Proyecto Datos (OKR´s)'!$G118)&gt;0,NOT($B118),OR(ISNUMBER('Proyecto Datos (OKR´s)'!$F118),ISNUMBER('Proyecto Datos (OKR´s)'!$L118)))</f>
      </c>
      <c r="D118" s="202">
        <f>IF($C118,IFERROR(LOOKUP(2,1/((ISTEXT('Proyecto Datos (OKR´s)'!$K$7:$K118))*(LEN('Proyecto Datos (OKR´s)'!$G$7:$G118)&gt;0)),'Proyecto Datos (OKR´s)'!$G$7:$G118),""),"")</f>
      </c>
      <c r="E118" s="201">
        <f>IF($C118,'Proyecto Datos (OKR´s)'!$E118,"")</f>
      </c>
      <c r="F118" s="202">
        <f>IF($C118,'Proyecto Datos (OKR´s)'!$G118,"")</f>
      </c>
      <c r="G118" s="202">
        <f>IF($C118,IF('Proyecto Datos (OKR´s)'!$I118="","(Sin asignar)",'Proyecto Datos (OKR´s)'!$I118),"")</f>
      </c>
      <c r="H118" s="201">
        <f>IF($C118,IF(ISNUMBER('Proyecto Datos (OKR´s)'!$F118),'Proyecto Datos (OKR´s)'!$F118,'Proyecto Datos (OKR´s)'!$L118),"")</f>
      </c>
      <c r="I118" s="201">
        <f>IF($C118,'Proyecto Datos (OKR´s)'!$J118,"")</f>
      </c>
      <c r="J118" s="202">
        <f>IF($C118,IF($I118&gt;=1,"Completado",IF($H118&lt;TODAY(),"Vencido",IF(($H118-TODAY())&lt;='Entregas Próximas'!$M$3,"Próximo a vencer","En curso"))),"")</f>
      </c>
      <c r="K118" s="201">
        <f>IF($C118,$H118-TODAY(),"")</f>
      </c>
      <c r="L118" s="201">
        <f>IF($C118,$AD118*1000000+$H118+ROW()/100000,"")</f>
      </c>
      <c r="M118" s="201">
        <f>IF($C118,IF($AD118=9999,"(Sin sprint)",$AD118),"")</f>
      </c>
      <c r="N118" s="201">
        <f>IF($C118,IF('Proyecto Datos (OKR´s)'!$E118="",9999,'Proyecto Datos (OKR´s)'!$E118),"")</f>
      </c>
      <c r="O118" s="201">
        <f>IF($C118,"T"&amp;TEXT(ROW(),"000"),"")</f>
      </c>
      <c r="R118" s="201">
        <f>IF($C118,IF(ISNUMBER('Proyecto Datos (OKR´s)'!$L118),'Proyecto Datos (OKR´s)'!$L118,$H118),"")</f>
      </c>
      <c r="S118" s="201">
        <f>IF($C118,$R118-'Proyecto Datos (OKR´s)'!$K118+1,"")</f>
      </c>
      <c r="T118" s="201">
        <f>IF($C118,MAX(0,TODAY()-'Proyecto Datos (OKR´s)'!$K118),"")</f>
      </c>
      <c r="U118" s="201">
        <f>IF($C118,MEDIAN(0,(TODAY()-'Proyecto Datos (OKR´s)'!$K118)/MAX(1,$R118-'Proyecto Datos (OKR´s)'!$K118),1),"")</f>
      </c>
      <c r="V118" s="201">
        <f>IF($C118,$I118-$U118,"")</f>
      </c>
      <c r="W118" s="201">
        <f>IF($C118,IF($J118="Completado",0,MAX(0,TODAY()-$H118)),"")</f>
      </c>
      <c r="X118" s="201">
        <f>IF($C118,IF(ISNUMBER($H118),$R118-$H118,0),"")</f>
      </c>
      <c r="Y118" s="201">
        <f>IF($C118,COUNTIFS($G$7:$G$200,$G118,$J$7:$J$200,"&lt;&gt;Completado",$J$7:$J$200,"&lt;&gt;"),"")</f>
      </c>
      <c r="Z118" s="201">
        <f>IF($C118,AND($I118=0,'Proyecto Datos (OKR´s)'!$K118&lt;=TODAY(),$J118&lt;&gt;"Completado"),"")</f>
      </c>
      <c r="AA118" s="201">
        <f>IF($C118,ROUND(100*(0.35*$AK118+0.3*$AL118+0.2*$AM118+0.15*MEDIAN(0,($Y118-4)/8,1)),0),"")</f>
      </c>
      <c r="AB118" s="202">
        <f>IF($C118,IF($J118="Completado","—",IF($AA118&gt;=70,"Crítica",IF($AA118&gt;=45,"Alta",IF($AA118&gt;=25,"Media","Baja")))),"")</f>
      </c>
      <c r="AC118" s="202">
        <f>IF($C118,IF(LEN(TRIM($AN118))=0,"—",TRIM($AN118)),"")</f>
      </c>
      <c r="AD118" s="201">
        <f>IF($C118,IF($N118=9999,9999,IF($J118="Completado",$N118,MAX($N118,'Historial de Sprints'!$C$7))),"")</f>
      </c>
      <c r="AE118" s="201">
        <f>IF($C118,IF($AD118=9999,"(Sin sprint)",$AD118),"")</f>
      </c>
      <c r="AF118" s="201">
        <f>IF($C118,AND($N118&lt;&gt;9999,$AD118&lt;&gt;$N118),FALSE)</f>
      </c>
      <c r="AG118" s="201">
        <f>IF($AF118,'Historial de Sprints'!$C$5+$N118*'Historial de Sprints'!$C$6-1,"")</f>
      </c>
      <c r="AH118" s="202">
        <f>IF($AF118,"No completada al cierre del Sprint "&amp;$N118&amp;" -&gt; reasignada al Sprint "&amp;$AD118,"")</f>
      </c>
      <c r="AI118" s="201">
        <f>IF($AF118,$N118*100000+ROW(),"")</f>
      </c>
      <c r="AJ118" s="201">
        <f>IF($C118,$AA118*1000000-MEDIAN(-9999,$K118,9999)*100+(300-ROW()),"")</f>
      </c>
      <c r="AK118" s="201">
        <f>IF($C118,IF($J118="Completado",0,IF($K118&lt;0,1,IF($K118&lt;=3,0.9,IF($K118&lt;=7,0.7,IF($K118&lt;=14,0.45,0.2))))),"")</f>
      </c>
      <c r="AL118" s="201">
        <f>IF($C118,IF($J118="Completado",0,MEDIAN(0,MAX(-$V118,$W118/30),1)),"")</f>
      </c>
      <c r="AM118" s="201">
        <f>IF($C118,IF($J118="Completado",0,IF($Z118,1,IF(AND($I118&lt;0.5,$K118&lt;=7),0.7,0.3))),"")</f>
      </c>
      <c r="AN118" s="202">
        <f>IF($C118,IF(OR($V118&lt;-0.2,$W118&gt;0),"ATRASO ","")&amp;IF($Z118,"BLOQUEO ","")&amp;IF($Y118&gt;8,"SOBRECARGA ","")&amp;IF($X118&gt;0,"DESVÍO-PLAN ",""),"")</f>
      </c>
    </row>
    <row r="119">
      <c r="A119" s="201">
        <f>ROW()</f>
      </c>
      <c r="B119" s="201">
        <f>ISTEXT('Proyecto Datos (OKR´s)'!$K119)</f>
      </c>
      <c r="C119" s="201">
        <f>AND(LEN('Proyecto Datos (OKR´s)'!$G119)&gt;0,NOT($B119),OR(ISNUMBER('Proyecto Datos (OKR´s)'!$F119),ISNUMBER('Proyecto Datos (OKR´s)'!$L119)))</f>
      </c>
      <c r="D119" s="202">
        <f>IF($C119,IFERROR(LOOKUP(2,1/((ISTEXT('Proyecto Datos (OKR´s)'!$K$7:$K119))*(LEN('Proyecto Datos (OKR´s)'!$G$7:$G119)&gt;0)),'Proyecto Datos (OKR´s)'!$G$7:$G119),""),"")</f>
      </c>
      <c r="E119" s="201">
        <f>IF($C119,'Proyecto Datos (OKR´s)'!$E119,"")</f>
      </c>
      <c r="F119" s="202">
        <f>IF($C119,'Proyecto Datos (OKR´s)'!$G119,"")</f>
      </c>
      <c r="G119" s="202">
        <f>IF($C119,IF('Proyecto Datos (OKR´s)'!$I119="","(Sin asignar)",'Proyecto Datos (OKR´s)'!$I119),"")</f>
      </c>
      <c r="H119" s="201">
        <f>IF($C119,IF(ISNUMBER('Proyecto Datos (OKR´s)'!$F119),'Proyecto Datos (OKR´s)'!$F119,'Proyecto Datos (OKR´s)'!$L119),"")</f>
      </c>
      <c r="I119" s="201">
        <f>IF($C119,'Proyecto Datos (OKR´s)'!$J119,"")</f>
      </c>
      <c r="J119" s="202">
        <f>IF($C119,IF($I119&gt;=1,"Completado",IF($H119&lt;TODAY(),"Vencido",IF(($H119-TODAY())&lt;='Entregas Próximas'!$M$3,"Próximo a vencer","En curso"))),"")</f>
      </c>
      <c r="K119" s="201">
        <f>IF($C119,$H119-TODAY(),"")</f>
      </c>
      <c r="L119" s="201">
        <f>IF($C119,$AD119*1000000+$H119+ROW()/100000,"")</f>
      </c>
      <c r="M119" s="201">
        <f>IF($C119,IF($AD119=9999,"(Sin sprint)",$AD119),"")</f>
      </c>
      <c r="N119" s="201">
        <f>IF($C119,IF('Proyecto Datos (OKR´s)'!$E119="",9999,'Proyecto Datos (OKR´s)'!$E119),"")</f>
      </c>
      <c r="O119" s="201">
        <f>IF($C119,"T"&amp;TEXT(ROW(),"000"),"")</f>
      </c>
      <c r="R119" s="201">
        <f>IF($C119,IF(ISNUMBER('Proyecto Datos (OKR´s)'!$L119),'Proyecto Datos (OKR´s)'!$L119,$H119),"")</f>
      </c>
      <c r="S119" s="201">
        <f>IF($C119,$R119-'Proyecto Datos (OKR´s)'!$K119+1,"")</f>
      </c>
      <c r="T119" s="201">
        <f>IF($C119,MAX(0,TODAY()-'Proyecto Datos (OKR´s)'!$K119),"")</f>
      </c>
      <c r="U119" s="201">
        <f>IF($C119,MEDIAN(0,(TODAY()-'Proyecto Datos (OKR´s)'!$K119)/MAX(1,$R119-'Proyecto Datos (OKR´s)'!$K119),1),"")</f>
      </c>
      <c r="V119" s="201">
        <f>IF($C119,$I119-$U119,"")</f>
      </c>
      <c r="W119" s="201">
        <f>IF($C119,IF($J119="Completado",0,MAX(0,TODAY()-$H119)),"")</f>
      </c>
      <c r="X119" s="201">
        <f>IF($C119,IF(ISNUMBER($H119),$R119-$H119,0),"")</f>
      </c>
      <c r="Y119" s="201">
        <f>IF($C119,COUNTIFS($G$7:$G$200,$G119,$J$7:$J$200,"&lt;&gt;Completado",$J$7:$J$200,"&lt;&gt;"),"")</f>
      </c>
      <c r="Z119" s="201">
        <f>IF($C119,AND($I119=0,'Proyecto Datos (OKR´s)'!$K119&lt;=TODAY(),$J119&lt;&gt;"Completado"),"")</f>
      </c>
      <c r="AA119" s="201">
        <f>IF($C119,ROUND(100*(0.35*$AK119+0.3*$AL119+0.2*$AM119+0.15*MEDIAN(0,($Y119-4)/8,1)),0),"")</f>
      </c>
      <c r="AB119" s="202">
        <f>IF($C119,IF($J119="Completado","—",IF($AA119&gt;=70,"Crítica",IF($AA119&gt;=45,"Alta",IF($AA119&gt;=25,"Media","Baja")))),"")</f>
      </c>
      <c r="AC119" s="202">
        <f>IF($C119,IF(LEN(TRIM($AN119))=0,"—",TRIM($AN119)),"")</f>
      </c>
      <c r="AD119" s="201">
        <f>IF($C119,IF($N119=9999,9999,IF($J119="Completado",$N119,MAX($N119,'Historial de Sprints'!$C$7))),"")</f>
      </c>
      <c r="AE119" s="201">
        <f>IF($C119,IF($AD119=9999,"(Sin sprint)",$AD119),"")</f>
      </c>
      <c r="AF119" s="201">
        <f>IF($C119,AND($N119&lt;&gt;9999,$AD119&lt;&gt;$N119),FALSE)</f>
      </c>
      <c r="AG119" s="201">
        <f>IF($AF119,'Historial de Sprints'!$C$5+$N119*'Historial de Sprints'!$C$6-1,"")</f>
      </c>
      <c r="AH119" s="202">
        <f>IF($AF119,"No completada al cierre del Sprint "&amp;$N119&amp;" -&gt; reasignada al Sprint "&amp;$AD119,"")</f>
      </c>
      <c r="AI119" s="201">
        <f>IF($AF119,$N119*100000+ROW(),"")</f>
      </c>
      <c r="AJ119" s="201">
        <f>IF($C119,$AA119*1000000-MEDIAN(-9999,$K119,9999)*100+(300-ROW()),"")</f>
      </c>
      <c r="AK119" s="201">
        <f>IF($C119,IF($J119="Completado",0,IF($K119&lt;0,1,IF($K119&lt;=3,0.9,IF($K119&lt;=7,0.7,IF($K119&lt;=14,0.45,0.2))))),"")</f>
      </c>
      <c r="AL119" s="201">
        <f>IF($C119,IF($J119="Completado",0,MEDIAN(0,MAX(-$V119,$W119/30),1)),"")</f>
      </c>
      <c r="AM119" s="201">
        <f>IF($C119,IF($J119="Completado",0,IF($Z119,1,IF(AND($I119&lt;0.5,$K119&lt;=7),0.7,0.3))),"")</f>
      </c>
      <c r="AN119" s="202">
        <f>IF($C119,IF(OR($V119&lt;-0.2,$W119&gt;0),"ATRASO ","")&amp;IF($Z119,"BLOQUEO ","")&amp;IF($Y119&gt;8,"SOBRECARGA ","")&amp;IF($X119&gt;0,"DESVÍO-PLAN ",""),"")</f>
      </c>
    </row>
    <row r="120">
      <c r="A120" s="201">
        <f>ROW()</f>
      </c>
      <c r="B120" s="201">
        <f>ISTEXT('Proyecto Datos (OKR´s)'!$K120)</f>
      </c>
      <c r="C120" s="201">
        <f>AND(LEN('Proyecto Datos (OKR´s)'!$G120)&gt;0,NOT($B120),OR(ISNUMBER('Proyecto Datos (OKR´s)'!$F120),ISNUMBER('Proyecto Datos (OKR´s)'!$L120)))</f>
      </c>
      <c r="D120" s="202">
        <f>IF($C120,IFERROR(LOOKUP(2,1/((ISTEXT('Proyecto Datos (OKR´s)'!$K$7:$K120))*(LEN('Proyecto Datos (OKR´s)'!$G$7:$G120)&gt;0)),'Proyecto Datos (OKR´s)'!$G$7:$G120),""),"")</f>
      </c>
      <c r="E120" s="201">
        <f>IF($C120,'Proyecto Datos (OKR´s)'!$E120,"")</f>
      </c>
      <c r="F120" s="202">
        <f>IF($C120,'Proyecto Datos (OKR´s)'!$G120,"")</f>
      </c>
      <c r="G120" s="202">
        <f>IF($C120,IF('Proyecto Datos (OKR´s)'!$I120="","(Sin asignar)",'Proyecto Datos (OKR´s)'!$I120),"")</f>
      </c>
      <c r="H120" s="201">
        <f>IF($C120,IF(ISNUMBER('Proyecto Datos (OKR´s)'!$F120),'Proyecto Datos (OKR´s)'!$F120,'Proyecto Datos (OKR´s)'!$L120),"")</f>
      </c>
      <c r="I120" s="201">
        <f>IF($C120,'Proyecto Datos (OKR´s)'!$J120,"")</f>
      </c>
      <c r="J120" s="202">
        <f>IF($C120,IF($I120&gt;=1,"Completado",IF($H120&lt;TODAY(),"Vencido",IF(($H120-TODAY())&lt;='Entregas Próximas'!$M$3,"Próximo a vencer","En curso"))),"")</f>
      </c>
      <c r="K120" s="201">
        <f>IF($C120,$H120-TODAY(),"")</f>
      </c>
      <c r="L120" s="201">
        <f>IF($C120,$AD120*1000000+$H120+ROW()/100000,"")</f>
      </c>
      <c r="M120" s="201">
        <f>IF($C120,IF($AD120=9999,"(Sin sprint)",$AD120),"")</f>
      </c>
      <c r="N120" s="201">
        <f>IF($C120,IF('Proyecto Datos (OKR´s)'!$E120="",9999,'Proyecto Datos (OKR´s)'!$E120),"")</f>
      </c>
      <c r="O120" s="201">
        <f>IF($C120,"T"&amp;TEXT(ROW(),"000"),"")</f>
      </c>
      <c r="R120" s="201">
        <f>IF($C120,IF(ISNUMBER('Proyecto Datos (OKR´s)'!$L120),'Proyecto Datos (OKR´s)'!$L120,$H120),"")</f>
      </c>
      <c r="S120" s="201">
        <f>IF($C120,$R120-'Proyecto Datos (OKR´s)'!$K120+1,"")</f>
      </c>
      <c r="T120" s="201">
        <f>IF($C120,MAX(0,TODAY()-'Proyecto Datos (OKR´s)'!$K120),"")</f>
      </c>
      <c r="U120" s="201">
        <f>IF($C120,MEDIAN(0,(TODAY()-'Proyecto Datos (OKR´s)'!$K120)/MAX(1,$R120-'Proyecto Datos (OKR´s)'!$K120),1),"")</f>
      </c>
      <c r="V120" s="201">
        <f>IF($C120,$I120-$U120,"")</f>
      </c>
      <c r="W120" s="201">
        <f>IF($C120,IF($J120="Completado",0,MAX(0,TODAY()-$H120)),"")</f>
      </c>
      <c r="X120" s="201">
        <f>IF($C120,IF(ISNUMBER($H120),$R120-$H120,0),"")</f>
      </c>
      <c r="Y120" s="201">
        <f>IF($C120,COUNTIFS($G$7:$G$200,$G120,$J$7:$J$200,"&lt;&gt;Completado",$J$7:$J$200,"&lt;&gt;"),"")</f>
      </c>
      <c r="Z120" s="201">
        <f>IF($C120,AND($I120=0,'Proyecto Datos (OKR´s)'!$K120&lt;=TODAY(),$J120&lt;&gt;"Completado"),"")</f>
      </c>
      <c r="AA120" s="201">
        <f>IF($C120,ROUND(100*(0.35*$AK120+0.3*$AL120+0.2*$AM120+0.15*MEDIAN(0,($Y120-4)/8,1)),0),"")</f>
      </c>
      <c r="AB120" s="202">
        <f>IF($C120,IF($J120="Completado","—",IF($AA120&gt;=70,"Crítica",IF($AA120&gt;=45,"Alta",IF($AA120&gt;=25,"Media","Baja")))),"")</f>
      </c>
      <c r="AC120" s="202">
        <f>IF($C120,IF(LEN(TRIM($AN120))=0,"—",TRIM($AN120)),"")</f>
      </c>
      <c r="AD120" s="201">
        <f>IF($C120,IF($N120=9999,9999,IF($J120="Completado",$N120,MAX($N120,'Historial de Sprints'!$C$7))),"")</f>
      </c>
      <c r="AE120" s="201">
        <f>IF($C120,IF($AD120=9999,"(Sin sprint)",$AD120),"")</f>
      </c>
      <c r="AF120" s="201">
        <f>IF($C120,AND($N120&lt;&gt;9999,$AD120&lt;&gt;$N120),FALSE)</f>
      </c>
      <c r="AG120" s="201">
        <f>IF($AF120,'Historial de Sprints'!$C$5+$N120*'Historial de Sprints'!$C$6-1,"")</f>
      </c>
      <c r="AH120" s="202">
        <f>IF($AF120,"No completada al cierre del Sprint "&amp;$N120&amp;" -&gt; reasignada al Sprint "&amp;$AD120,"")</f>
      </c>
      <c r="AI120" s="201">
        <f>IF($AF120,$N120*100000+ROW(),"")</f>
      </c>
      <c r="AJ120" s="201">
        <f>IF($C120,$AA120*1000000-MEDIAN(-9999,$K120,9999)*100+(300-ROW()),"")</f>
      </c>
      <c r="AK120" s="201">
        <f>IF($C120,IF($J120="Completado",0,IF($K120&lt;0,1,IF($K120&lt;=3,0.9,IF($K120&lt;=7,0.7,IF($K120&lt;=14,0.45,0.2))))),"")</f>
      </c>
      <c r="AL120" s="201">
        <f>IF($C120,IF($J120="Completado",0,MEDIAN(0,MAX(-$V120,$W120/30),1)),"")</f>
      </c>
      <c r="AM120" s="201">
        <f>IF($C120,IF($J120="Completado",0,IF($Z120,1,IF(AND($I120&lt;0.5,$K120&lt;=7),0.7,0.3))),"")</f>
      </c>
      <c r="AN120" s="202">
        <f>IF($C120,IF(OR($V120&lt;-0.2,$W120&gt;0),"ATRASO ","")&amp;IF($Z120,"BLOQUEO ","")&amp;IF($Y120&gt;8,"SOBRECARGA ","")&amp;IF($X120&gt;0,"DESVÍO-PLAN ",""),"")</f>
      </c>
    </row>
    <row r="121">
      <c r="A121" s="201">
        <f>ROW()</f>
      </c>
      <c r="B121" s="201">
        <f>ISTEXT('Proyecto Datos (OKR´s)'!$K121)</f>
      </c>
      <c r="C121" s="201">
        <f>AND(LEN('Proyecto Datos (OKR´s)'!$G121)&gt;0,NOT($B121),OR(ISNUMBER('Proyecto Datos (OKR´s)'!$F121),ISNUMBER('Proyecto Datos (OKR´s)'!$L121)))</f>
      </c>
      <c r="D121" s="202">
        <f>IF($C121,IFERROR(LOOKUP(2,1/((ISTEXT('Proyecto Datos (OKR´s)'!$K$7:$K121))*(LEN('Proyecto Datos (OKR´s)'!$G$7:$G121)&gt;0)),'Proyecto Datos (OKR´s)'!$G$7:$G121),""),"")</f>
      </c>
      <c r="E121" s="201">
        <f>IF($C121,'Proyecto Datos (OKR´s)'!$E121,"")</f>
      </c>
      <c r="F121" s="202">
        <f>IF($C121,'Proyecto Datos (OKR´s)'!$G121,"")</f>
      </c>
      <c r="G121" s="202">
        <f>IF($C121,IF('Proyecto Datos (OKR´s)'!$I121="","(Sin asignar)",'Proyecto Datos (OKR´s)'!$I121),"")</f>
      </c>
      <c r="H121" s="201">
        <f>IF($C121,IF(ISNUMBER('Proyecto Datos (OKR´s)'!$F121),'Proyecto Datos (OKR´s)'!$F121,'Proyecto Datos (OKR´s)'!$L121),"")</f>
      </c>
      <c r="I121" s="201">
        <f>IF($C121,'Proyecto Datos (OKR´s)'!$J121,"")</f>
      </c>
      <c r="J121" s="202">
        <f>IF($C121,IF($I121&gt;=1,"Completado",IF($H121&lt;TODAY(),"Vencido",IF(($H121-TODAY())&lt;='Entregas Próximas'!$M$3,"Próximo a vencer","En curso"))),"")</f>
      </c>
      <c r="K121" s="201">
        <f>IF($C121,$H121-TODAY(),"")</f>
      </c>
      <c r="L121" s="201">
        <f>IF($C121,$AD121*1000000+$H121+ROW()/100000,"")</f>
      </c>
      <c r="M121" s="201">
        <f>IF($C121,IF($AD121=9999,"(Sin sprint)",$AD121),"")</f>
      </c>
      <c r="N121" s="201">
        <f>IF($C121,IF('Proyecto Datos (OKR´s)'!$E121="",9999,'Proyecto Datos (OKR´s)'!$E121),"")</f>
      </c>
      <c r="O121" s="201">
        <f>IF($C121,"T"&amp;TEXT(ROW(),"000"),"")</f>
      </c>
      <c r="R121" s="201">
        <f>IF($C121,IF(ISNUMBER('Proyecto Datos (OKR´s)'!$L121),'Proyecto Datos (OKR´s)'!$L121,$H121),"")</f>
      </c>
      <c r="S121" s="201">
        <f>IF($C121,$R121-'Proyecto Datos (OKR´s)'!$K121+1,"")</f>
      </c>
      <c r="T121" s="201">
        <f>IF($C121,MAX(0,TODAY()-'Proyecto Datos (OKR´s)'!$K121),"")</f>
      </c>
      <c r="U121" s="201">
        <f>IF($C121,MEDIAN(0,(TODAY()-'Proyecto Datos (OKR´s)'!$K121)/MAX(1,$R121-'Proyecto Datos (OKR´s)'!$K121),1),"")</f>
      </c>
      <c r="V121" s="201">
        <f>IF($C121,$I121-$U121,"")</f>
      </c>
      <c r="W121" s="201">
        <f>IF($C121,IF($J121="Completado",0,MAX(0,TODAY()-$H121)),"")</f>
      </c>
      <c r="X121" s="201">
        <f>IF($C121,IF(ISNUMBER($H121),$R121-$H121,0),"")</f>
      </c>
      <c r="Y121" s="201">
        <f>IF($C121,COUNTIFS($G$7:$G$200,$G121,$J$7:$J$200,"&lt;&gt;Completado",$J$7:$J$200,"&lt;&gt;"),"")</f>
      </c>
      <c r="Z121" s="201">
        <f>IF($C121,AND($I121=0,'Proyecto Datos (OKR´s)'!$K121&lt;=TODAY(),$J121&lt;&gt;"Completado"),"")</f>
      </c>
      <c r="AA121" s="201">
        <f>IF($C121,ROUND(100*(0.35*$AK121+0.3*$AL121+0.2*$AM121+0.15*MEDIAN(0,($Y121-4)/8,1)),0),"")</f>
      </c>
      <c r="AB121" s="202">
        <f>IF($C121,IF($J121="Completado","—",IF($AA121&gt;=70,"Crítica",IF($AA121&gt;=45,"Alta",IF($AA121&gt;=25,"Media","Baja")))),"")</f>
      </c>
      <c r="AC121" s="202">
        <f>IF($C121,IF(LEN(TRIM($AN121))=0,"—",TRIM($AN121)),"")</f>
      </c>
      <c r="AD121" s="201">
        <f>IF($C121,IF($N121=9999,9999,IF($J121="Completado",$N121,MAX($N121,'Historial de Sprints'!$C$7))),"")</f>
      </c>
      <c r="AE121" s="201">
        <f>IF($C121,IF($AD121=9999,"(Sin sprint)",$AD121),"")</f>
      </c>
      <c r="AF121" s="201">
        <f>IF($C121,AND($N121&lt;&gt;9999,$AD121&lt;&gt;$N121),FALSE)</f>
      </c>
      <c r="AG121" s="201">
        <f>IF($AF121,'Historial de Sprints'!$C$5+$N121*'Historial de Sprints'!$C$6-1,"")</f>
      </c>
      <c r="AH121" s="202">
        <f>IF($AF121,"No completada al cierre del Sprint "&amp;$N121&amp;" -&gt; reasignada al Sprint "&amp;$AD121,"")</f>
      </c>
      <c r="AI121" s="201">
        <f>IF($AF121,$N121*100000+ROW(),"")</f>
      </c>
      <c r="AJ121" s="201">
        <f>IF($C121,$AA121*1000000-MEDIAN(-9999,$K121,9999)*100+(300-ROW()),"")</f>
      </c>
      <c r="AK121" s="201">
        <f>IF($C121,IF($J121="Completado",0,IF($K121&lt;0,1,IF($K121&lt;=3,0.9,IF($K121&lt;=7,0.7,IF($K121&lt;=14,0.45,0.2))))),"")</f>
      </c>
      <c r="AL121" s="201">
        <f>IF($C121,IF($J121="Completado",0,MEDIAN(0,MAX(-$V121,$W121/30),1)),"")</f>
      </c>
      <c r="AM121" s="201">
        <f>IF($C121,IF($J121="Completado",0,IF($Z121,1,IF(AND($I121&lt;0.5,$K121&lt;=7),0.7,0.3))),"")</f>
      </c>
      <c r="AN121" s="202">
        <f>IF($C121,IF(OR($V121&lt;-0.2,$W121&gt;0),"ATRASO ","")&amp;IF($Z121,"BLOQUEO ","")&amp;IF($Y121&gt;8,"SOBRECARGA ","")&amp;IF($X121&gt;0,"DESVÍO-PLAN ",""),"")</f>
      </c>
    </row>
    <row r="122">
      <c r="A122" s="201">
        <f>ROW()</f>
      </c>
      <c r="B122" s="201">
        <f>ISTEXT('Proyecto Datos (OKR´s)'!$K122)</f>
      </c>
      <c r="C122" s="201">
        <f>AND(LEN('Proyecto Datos (OKR´s)'!$G122)&gt;0,NOT($B122),OR(ISNUMBER('Proyecto Datos (OKR´s)'!$F122),ISNUMBER('Proyecto Datos (OKR´s)'!$L122)))</f>
      </c>
      <c r="D122" s="202">
        <f>IF($C122,IFERROR(LOOKUP(2,1/((ISTEXT('Proyecto Datos (OKR´s)'!$K$7:$K122))*(LEN('Proyecto Datos (OKR´s)'!$G$7:$G122)&gt;0)),'Proyecto Datos (OKR´s)'!$G$7:$G122),""),"")</f>
      </c>
      <c r="E122" s="201">
        <f>IF($C122,'Proyecto Datos (OKR´s)'!$E122,"")</f>
      </c>
      <c r="F122" s="202">
        <f>IF($C122,'Proyecto Datos (OKR´s)'!$G122,"")</f>
      </c>
      <c r="G122" s="202">
        <f>IF($C122,IF('Proyecto Datos (OKR´s)'!$I122="","(Sin asignar)",'Proyecto Datos (OKR´s)'!$I122),"")</f>
      </c>
      <c r="H122" s="201">
        <f>IF($C122,IF(ISNUMBER('Proyecto Datos (OKR´s)'!$F122),'Proyecto Datos (OKR´s)'!$F122,'Proyecto Datos (OKR´s)'!$L122),"")</f>
      </c>
      <c r="I122" s="201">
        <f>IF($C122,'Proyecto Datos (OKR´s)'!$J122,"")</f>
      </c>
      <c r="J122" s="202">
        <f>IF($C122,IF($I122&gt;=1,"Completado",IF($H122&lt;TODAY(),"Vencido",IF(($H122-TODAY())&lt;='Entregas Próximas'!$M$3,"Próximo a vencer","En curso"))),"")</f>
      </c>
      <c r="K122" s="201">
        <f>IF($C122,$H122-TODAY(),"")</f>
      </c>
      <c r="L122" s="201">
        <f>IF($C122,$AD122*1000000+$H122+ROW()/100000,"")</f>
      </c>
      <c r="M122" s="201">
        <f>IF($C122,IF($AD122=9999,"(Sin sprint)",$AD122),"")</f>
      </c>
      <c r="N122" s="201">
        <f>IF($C122,IF('Proyecto Datos (OKR´s)'!$E122="",9999,'Proyecto Datos (OKR´s)'!$E122),"")</f>
      </c>
      <c r="O122" s="201">
        <f>IF($C122,"T"&amp;TEXT(ROW(),"000"),"")</f>
      </c>
      <c r="R122" s="201">
        <f>IF($C122,IF(ISNUMBER('Proyecto Datos (OKR´s)'!$L122),'Proyecto Datos (OKR´s)'!$L122,$H122),"")</f>
      </c>
      <c r="S122" s="201">
        <f>IF($C122,$R122-'Proyecto Datos (OKR´s)'!$K122+1,"")</f>
      </c>
      <c r="T122" s="201">
        <f>IF($C122,MAX(0,TODAY()-'Proyecto Datos (OKR´s)'!$K122),"")</f>
      </c>
      <c r="U122" s="201">
        <f>IF($C122,MEDIAN(0,(TODAY()-'Proyecto Datos (OKR´s)'!$K122)/MAX(1,$R122-'Proyecto Datos (OKR´s)'!$K122),1),"")</f>
      </c>
      <c r="V122" s="201">
        <f>IF($C122,$I122-$U122,"")</f>
      </c>
      <c r="W122" s="201">
        <f>IF($C122,IF($J122="Completado",0,MAX(0,TODAY()-$H122)),"")</f>
      </c>
      <c r="X122" s="201">
        <f>IF($C122,IF(ISNUMBER($H122),$R122-$H122,0),"")</f>
      </c>
      <c r="Y122" s="201">
        <f>IF($C122,COUNTIFS($G$7:$G$200,$G122,$J$7:$J$200,"&lt;&gt;Completado",$J$7:$J$200,"&lt;&gt;"),"")</f>
      </c>
      <c r="Z122" s="201">
        <f>IF($C122,AND($I122=0,'Proyecto Datos (OKR´s)'!$K122&lt;=TODAY(),$J122&lt;&gt;"Completado"),"")</f>
      </c>
      <c r="AA122" s="201">
        <f>IF($C122,ROUND(100*(0.35*$AK122+0.3*$AL122+0.2*$AM122+0.15*MEDIAN(0,($Y122-4)/8,1)),0),"")</f>
      </c>
      <c r="AB122" s="202">
        <f>IF($C122,IF($J122="Completado","—",IF($AA122&gt;=70,"Crítica",IF($AA122&gt;=45,"Alta",IF($AA122&gt;=25,"Media","Baja")))),"")</f>
      </c>
      <c r="AC122" s="202">
        <f>IF($C122,IF(LEN(TRIM($AN122))=0,"—",TRIM($AN122)),"")</f>
      </c>
      <c r="AD122" s="201">
        <f>IF($C122,IF($N122=9999,9999,IF($J122="Completado",$N122,MAX($N122,'Historial de Sprints'!$C$7))),"")</f>
      </c>
      <c r="AE122" s="201">
        <f>IF($C122,IF($AD122=9999,"(Sin sprint)",$AD122),"")</f>
      </c>
      <c r="AF122" s="201">
        <f>IF($C122,AND($N122&lt;&gt;9999,$AD122&lt;&gt;$N122),FALSE)</f>
      </c>
      <c r="AG122" s="201">
        <f>IF($AF122,'Historial de Sprints'!$C$5+$N122*'Historial de Sprints'!$C$6-1,"")</f>
      </c>
      <c r="AH122" s="202">
        <f>IF($AF122,"No completada al cierre del Sprint "&amp;$N122&amp;" -&gt; reasignada al Sprint "&amp;$AD122,"")</f>
      </c>
      <c r="AI122" s="201">
        <f>IF($AF122,$N122*100000+ROW(),"")</f>
      </c>
      <c r="AJ122" s="201">
        <f>IF($C122,$AA122*1000000-MEDIAN(-9999,$K122,9999)*100+(300-ROW()),"")</f>
      </c>
      <c r="AK122" s="201">
        <f>IF($C122,IF($J122="Completado",0,IF($K122&lt;0,1,IF($K122&lt;=3,0.9,IF($K122&lt;=7,0.7,IF($K122&lt;=14,0.45,0.2))))),"")</f>
      </c>
      <c r="AL122" s="201">
        <f>IF($C122,IF($J122="Completado",0,MEDIAN(0,MAX(-$V122,$W122/30),1)),"")</f>
      </c>
      <c r="AM122" s="201">
        <f>IF($C122,IF($J122="Completado",0,IF($Z122,1,IF(AND($I122&lt;0.5,$K122&lt;=7),0.7,0.3))),"")</f>
      </c>
      <c r="AN122" s="202">
        <f>IF($C122,IF(OR($V122&lt;-0.2,$W122&gt;0),"ATRASO ","")&amp;IF($Z122,"BLOQUEO ","")&amp;IF($Y122&gt;8,"SOBRECARGA ","")&amp;IF($X122&gt;0,"DESVÍO-PLAN ",""),"")</f>
      </c>
    </row>
    <row r="123">
      <c r="A123" s="201">
        <f>ROW()</f>
      </c>
      <c r="B123" s="201">
        <f>ISTEXT('Proyecto Datos (OKR´s)'!$K123)</f>
      </c>
      <c r="C123" s="201">
        <f>AND(LEN('Proyecto Datos (OKR´s)'!$G123)&gt;0,NOT($B123),OR(ISNUMBER('Proyecto Datos (OKR´s)'!$F123),ISNUMBER('Proyecto Datos (OKR´s)'!$L123)))</f>
      </c>
      <c r="D123" s="202">
        <f>IF($C123,IFERROR(LOOKUP(2,1/((ISTEXT('Proyecto Datos (OKR´s)'!$K$7:$K123))*(LEN('Proyecto Datos (OKR´s)'!$G$7:$G123)&gt;0)),'Proyecto Datos (OKR´s)'!$G$7:$G123),""),"")</f>
      </c>
      <c r="E123" s="201">
        <f>IF($C123,'Proyecto Datos (OKR´s)'!$E123,"")</f>
      </c>
      <c r="F123" s="202">
        <f>IF($C123,'Proyecto Datos (OKR´s)'!$G123,"")</f>
      </c>
      <c r="G123" s="202">
        <f>IF($C123,IF('Proyecto Datos (OKR´s)'!$I123="","(Sin asignar)",'Proyecto Datos (OKR´s)'!$I123),"")</f>
      </c>
      <c r="H123" s="201">
        <f>IF($C123,IF(ISNUMBER('Proyecto Datos (OKR´s)'!$F123),'Proyecto Datos (OKR´s)'!$F123,'Proyecto Datos (OKR´s)'!$L123),"")</f>
      </c>
      <c r="I123" s="201">
        <f>IF($C123,'Proyecto Datos (OKR´s)'!$J123,"")</f>
      </c>
      <c r="J123" s="202">
        <f>IF($C123,IF($I123&gt;=1,"Completado",IF($H123&lt;TODAY(),"Vencido",IF(($H123-TODAY())&lt;='Entregas Próximas'!$M$3,"Próximo a vencer","En curso"))),"")</f>
      </c>
      <c r="K123" s="201">
        <f>IF($C123,$H123-TODAY(),"")</f>
      </c>
      <c r="L123" s="201">
        <f>IF($C123,$AD123*1000000+$H123+ROW()/100000,"")</f>
      </c>
      <c r="M123" s="201">
        <f>IF($C123,IF($AD123=9999,"(Sin sprint)",$AD123),"")</f>
      </c>
      <c r="N123" s="201">
        <f>IF($C123,IF('Proyecto Datos (OKR´s)'!$E123="",9999,'Proyecto Datos (OKR´s)'!$E123),"")</f>
      </c>
      <c r="O123" s="201">
        <f>IF($C123,"T"&amp;TEXT(ROW(),"000"),"")</f>
      </c>
      <c r="R123" s="201">
        <f>IF($C123,IF(ISNUMBER('Proyecto Datos (OKR´s)'!$L123),'Proyecto Datos (OKR´s)'!$L123,$H123),"")</f>
      </c>
      <c r="S123" s="201">
        <f>IF($C123,$R123-'Proyecto Datos (OKR´s)'!$K123+1,"")</f>
      </c>
      <c r="T123" s="201">
        <f>IF($C123,MAX(0,TODAY()-'Proyecto Datos (OKR´s)'!$K123),"")</f>
      </c>
      <c r="U123" s="201">
        <f>IF($C123,MEDIAN(0,(TODAY()-'Proyecto Datos (OKR´s)'!$K123)/MAX(1,$R123-'Proyecto Datos (OKR´s)'!$K123),1),"")</f>
      </c>
      <c r="V123" s="201">
        <f>IF($C123,$I123-$U123,"")</f>
      </c>
      <c r="W123" s="201">
        <f>IF($C123,IF($J123="Completado",0,MAX(0,TODAY()-$H123)),"")</f>
      </c>
      <c r="X123" s="201">
        <f>IF($C123,IF(ISNUMBER($H123),$R123-$H123,0),"")</f>
      </c>
      <c r="Y123" s="201">
        <f>IF($C123,COUNTIFS($G$7:$G$200,$G123,$J$7:$J$200,"&lt;&gt;Completado",$J$7:$J$200,"&lt;&gt;"),"")</f>
      </c>
      <c r="Z123" s="201">
        <f>IF($C123,AND($I123=0,'Proyecto Datos (OKR´s)'!$K123&lt;=TODAY(),$J123&lt;&gt;"Completado"),"")</f>
      </c>
      <c r="AA123" s="201">
        <f>IF($C123,ROUND(100*(0.35*$AK123+0.3*$AL123+0.2*$AM123+0.15*MEDIAN(0,($Y123-4)/8,1)),0),"")</f>
      </c>
      <c r="AB123" s="202">
        <f>IF($C123,IF($J123="Completado","—",IF($AA123&gt;=70,"Crítica",IF($AA123&gt;=45,"Alta",IF($AA123&gt;=25,"Media","Baja")))),"")</f>
      </c>
      <c r="AC123" s="202">
        <f>IF($C123,IF(LEN(TRIM($AN123))=0,"—",TRIM($AN123)),"")</f>
      </c>
      <c r="AD123" s="201">
        <f>IF($C123,IF($N123=9999,9999,IF($J123="Completado",$N123,MAX($N123,'Historial de Sprints'!$C$7))),"")</f>
      </c>
      <c r="AE123" s="201">
        <f>IF($C123,IF($AD123=9999,"(Sin sprint)",$AD123),"")</f>
      </c>
      <c r="AF123" s="201">
        <f>IF($C123,AND($N123&lt;&gt;9999,$AD123&lt;&gt;$N123),FALSE)</f>
      </c>
      <c r="AG123" s="201">
        <f>IF($AF123,'Historial de Sprints'!$C$5+$N123*'Historial de Sprints'!$C$6-1,"")</f>
      </c>
      <c r="AH123" s="202">
        <f>IF($AF123,"No completada al cierre del Sprint "&amp;$N123&amp;" -&gt; reasignada al Sprint "&amp;$AD123,"")</f>
      </c>
      <c r="AI123" s="201">
        <f>IF($AF123,$N123*100000+ROW(),"")</f>
      </c>
      <c r="AJ123" s="201">
        <f>IF($C123,$AA123*1000000-MEDIAN(-9999,$K123,9999)*100+(300-ROW()),"")</f>
      </c>
      <c r="AK123" s="201">
        <f>IF($C123,IF($J123="Completado",0,IF($K123&lt;0,1,IF($K123&lt;=3,0.9,IF($K123&lt;=7,0.7,IF($K123&lt;=14,0.45,0.2))))),"")</f>
      </c>
      <c r="AL123" s="201">
        <f>IF($C123,IF($J123="Completado",0,MEDIAN(0,MAX(-$V123,$W123/30),1)),"")</f>
      </c>
      <c r="AM123" s="201">
        <f>IF($C123,IF($J123="Completado",0,IF($Z123,1,IF(AND($I123&lt;0.5,$K123&lt;=7),0.7,0.3))),"")</f>
      </c>
      <c r="AN123" s="202">
        <f>IF($C123,IF(OR($V123&lt;-0.2,$W123&gt;0),"ATRASO ","")&amp;IF($Z123,"BLOQUEO ","")&amp;IF($Y123&gt;8,"SOBRECARGA ","")&amp;IF($X123&gt;0,"DESVÍO-PLAN ",""),"")</f>
      </c>
    </row>
    <row r="124">
      <c r="A124" s="201">
        <f>ROW()</f>
      </c>
      <c r="B124" s="201">
        <f>ISTEXT('Proyecto Datos (OKR´s)'!$K124)</f>
      </c>
      <c r="C124" s="201">
        <f>AND(LEN('Proyecto Datos (OKR´s)'!$G124)&gt;0,NOT($B124),OR(ISNUMBER('Proyecto Datos (OKR´s)'!$F124),ISNUMBER('Proyecto Datos (OKR´s)'!$L124)))</f>
      </c>
      <c r="D124" s="202">
        <f>IF($C124,IFERROR(LOOKUP(2,1/((ISTEXT('Proyecto Datos (OKR´s)'!$K$7:$K124))*(LEN('Proyecto Datos (OKR´s)'!$G$7:$G124)&gt;0)),'Proyecto Datos (OKR´s)'!$G$7:$G124),""),"")</f>
      </c>
      <c r="E124" s="201">
        <f>IF($C124,'Proyecto Datos (OKR´s)'!$E124,"")</f>
      </c>
      <c r="F124" s="202">
        <f>IF($C124,'Proyecto Datos (OKR´s)'!$G124,"")</f>
      </c>
      <c r="G124" s="202">
        <f>IF($C124,IF('Proyecto Datos (OKR´s)'!$I124="","(Sin asignar)",'Proyecto Datos (OKR´s)'!$I124),"")</f>
      </c>
      <c r="H124" s="201">
        <f>IF($C124,IF(ISNUMBER('Proyecto Datos (OKR´s)'!$F124),'Proyecto Datos (OKR´s)'!$F124,'Proyecto Datos (OKR´s)'!$L124),"")</f>
      </c>
      <c r="I124" s="201">
        <f>IF($C124,'Proyecto Datos (OKR´s)'!$J124,"")</f>
      </c>
      <c r="J124" s="202">
        <f>IF($C124,IF($I124&gt;=1,"Completado",IF($H124&lt;TODAY(),"Vencido",IF(($H124-TODAY())&lt;='Entregas Próximas'!$M$3,"Próximo a vencer","En curso"))),"")</f>
      </c>
      <c r="K124" s="201">
        <f>IF($C124,$H124-TODAY(),"")</f>
      </c>
      <c r="L124" s="201">
        <f>IF($C124,$AD124*1000000+$H124+ROW()/100000,"")</f>
      </c>
      <c r="M124" s="201">
        <f>IF($C124,IF($AD124=9999,"(Sin sprint)",$AD124),"")</f>
      </c>
      <c r="N124" s="201">
        <f>IF($C124,IF('Proyecto Datos (OKR´s)'!$E124="",9999,'Proyecto Datos (OKR´s)'!$E124),"")</f>
      </c>
      <c r="O124" s="201">
        <f>IF($C124,"T"&amp;TEXT(ROW(),"000"),"")</f>
      </c>
      <c r="R124" s="201">
        <f>IF($C124,IF(ISNUMBER('Proyecto Datos (OKR´s)'!$L124),'Proyecto Datos (OKR´s)'!$L124,$H124),"")</f>
      </c>
      <c r="S124" s="201">
        <f>IF($C124,$R124-'Proyecto Datos (OKR´s)'!$K124+1,"")</f>
      </c>
      <c r="T124" s="201">
        <f>IF($C124,MAX(0,TODAY()-'Proyecto Datos (OKR´s)'!$K124),"")</f>
      </c>
      <c r="U124" s="201">
        <f>IF($C124,MEDIAN(0,(TODAY()-'Proyecto Datos (OKR´s)'!$K124)/MAX(1,$R124-'Proyecto Datos (OKR´s)'!$K124),1),"")</f>
      </c>
      <c r="V124" s="201">
        <f>IF($C124,$I124-$U124,"")</f>
      </c>
      <c r="W124" s="201">
        <f>IF($C124,IF($J124="Completado",0,MAX(0,TODAY()-$H124)),"")</f>
      </c>
      <c r="X124" s="201">
        <f>IF($C124,IF(ISNUMBER($H124),$R124-$H124,0),"")</f>
      </c>
      <c r="Y124" s="201">
        <f>IF($C124,COUNTIFS($G$7:$G$200,$G124,$J$7:$J$200,"&lt;&gt;Completado",$J$7:$J$200,"&lt;&gt;"),"")</f>
      </c>
      <c r="Z124" s="201">
        <f>IF($C124,AND($I124=0,'Proyecto Datos (OKR´s)'!$K124&lt;=TODAY(),$J124&lt;&gt;"Completado"),"")</f>
      </c>
      <c r="AA124" s="201">
        <f>IF($C124,ROUND(100*(0.35*$AK124+0.3*$AL124+0.2*$AM124+0.15*MEDIAN(0,($Y124-4)/8,1)),0),"")</f>
      </c>
      <c r="AB124" s="202">
        <f>IF($C124,IF($J124="Completado","—",IF($AA124&gt;=70,"Crítica",IF($AA124&gt;=45,"Alta",IF($AA124&gt;=25,"Media","Baja")))),"")</f>
      </c>
      <c r="AC124" s="202">
        <f>IF($C124,IF(LEN(TRIM($AN124))=0,"—",TRIM($AN124)),"")</f>
      </c>
      <c r="AD124" s="201">
        <f>IF($C124,IF($N124=9999,9999,IF($J124="Completado",$N124,MAX($N124,'Historial de Sprints'!$C$7))),"")</f>
      </c>
      <c r="AE124" s="201">
        <f>IF($C124,IF($AD124=9999,"(Sin sprint)",$AD124),"")</f>
      </c>
      <c r="AF124" s="201">
        <f>IF($C124,AND($N124&lt;&gt;9999,$AD124&lt;&gt;$N124),FALSE)</f>
      </c>
      <c r="AG124" s="201">
        <f>IF($AF124,'Historial de Sprints'!$C$5+$N124*'Historial de Sprints'!$C$6-1,"")</f>
      </c>
      <c r="AH124" s="202">
        <f>IF($AF124,"No completada al cierre del Sprint "&amp;$N124&amp;" -&gt; reasignada al Sprint "&amp;$AD124,"")</f>
      </c>
      <c r="AI124" s="201">
        <f>IF($AF124,$N124*100000+ROW(),"")</f>
      </c>
      <c r="AJ124" s="201">
        <f>IF($C124,$AA124*1000000-MEDIAN(-9999,$K124,9999)*100+(300-ROW()),"")</f>
      </c>
      <c r="AK124" s="201">
        <f>IF($C124,IF($J124="Completado",0,IF($K124&lt;0,1,IF($K124&lt;=3,0.9,IF($K124&lt;=7,0.7,IF($K124&lt;=14,0.45,0.2))))),"")</f>
      </c>
      <c r="AL124" s="201">
        <f>IF($C124,IF($J124="Completado",0,MEDIAN(0,MAX(-$V124,$W124/30),1)),"")</f>
      </c>
      <c r="AM124" s="201">
        <f>IF($C124,IF($J124="Completado",0,IF($Z124,1,IF(AND($I124&lt;0.5,$K124&lt;=7),0.7,0.3))),"")</f>
      </c>
      <c r="AN124" s="202">
        <f>IF($C124,IF(OR($V124&lt;-0.2,$W124&gt;0),"ATRASO ","")&amp;IF($Z124,"BLOQUEO ","")&amp;IF($Y124&gt;8,"SOBRECARGA ","")&amp;IF($X124&gt;0,"DESVÍO-PLAN ",""),"")</f>
      </c>
    </row>
    <row r="125">
      <c r="A125" s="201">
        <f>ROW()</f>
      </c>
      <c r="B125" s="201">
        <f>ISTEXT('Proyecto Datos (OKR´s)'!$K125)</f>
      </c>
      <c r="C125" s="201">
        <f>AND(LEN('Proyecto Datos (OKR´s)'!$G125)&gt;0,NOT($B125),OR(ISNUMBER('Proyecto Datos (OKR´s)'!$F125),ISNUMBER('Proyecto Datos (OKR´s)'!$L125)))</f>
      </c>
      <c r="D125" s="202">
        <f>IF($C125,IFERROR(LOOKUP(2,1/((ISTEXT('Proyecto Datos (OKR´s)'!$K$7:$K125))*(LEN('Proyecto Datos (OKR´s)'!$G$7:$G125)&gt;0)),'Proyecto Datos (OKR´s)'!$G$7:$G125),""),"")</f>
      </c>
      <c r="E125" s="201">
        <f>IF($C125,'Proyecto Datos (OKR´s)'!$E125,"")</f>
      </c>
      <c r="F125" s="202">
        <f>IF($C125,'Proyecto Datos (OKR´s)'!$G125,"")</f>
      </c>
      <c r="G125" s="202">
        <f>IF($C125,IF('Proyecto Datos (OKR´s)'!$I125="","(Sin asignar)",'Proyecto Datos (OKR´s)'!$I125),"")</f>
      </c>
      <c r="H125" s="201">
        <f>IF($C125,IF(ISNUMBER('Proyecto Datos (OKR´s)'!$F125),'Proyecto Datos (OKR´s)'!$F125,'Proyecto Datos (OKR´s)'!$L125),"")</f>
      </c>
      <c r="I125" s="201">
        <f>IF($C125,'Proyecto Datos (OKR´s)'!$J125,"")</f>
      </c>
      <c r="J125" s="202">
        <f>IF($C125,IF($I125&gt;=1,"Completado",IF($H125&lt;TODAY(),"Vencido",IF(($H125-TODAY())&lt;='Entregas Próximas'!$M$3,"Próximo a vencer","En curso"))),"")</f>
      </c>
      <c r="K125" s="201">
        <f>IF($C125,$H125-TODAY(),"")</f>
      </c>
      <c r="L125" s="201">
        <f>IF($C125,$AD125*1000000+$H125+ROW()/100000,"")</f>
      </c>
      <c r="M125" s="201">
        <f>IF($C125,IF($AD125=9999,"(Sin sprint)",$AD125),"")</f>
      </c>
      <c r="N125" s="201">
        <f>IF($C125,IF('Proyecto Datos (OKR´s)'!$E125="",9999,'Proyecto Datos (OKR´s)'!$E125),"")</f>
      </c>
      <c r="O125" s="201">
        <f>IF($C125,"T"&amp;TEXT(ROW(),"000"),"")</f>
      </c>
      <c r="R125" s="201">
        <f>IF($C125,IF(ISNUMBER('Proyecto Datos (OKR´s)'!$L125),'Proyecto Datos (OKR´s)'!$L125,$H125),"")</f>
      </c>
      <c r="S125" s="201">
        <f>IF($C125,$R125-'Proyecto Datos (OKR´s)'!$K125+1,"")</f>
      </c>
      <c r="T125" s="201">
        <f>IF($C125,MAX(0,TODAY()-'Proyecto Datos (OKR´s)'!$K125),"")</f>
      </c>
      <c r="U125" s="201">
        <f>IF($C125,MEDIAN(0,(TODAY()-'Proyecto Datos (OKR´s)'!$K125)/MAX(1,$R125-'Proyecto Datos (OKR´s)'!$K125),1),"")</f>
      </c>
      <c r="V125" s="201">
        <f>IF($C125,$I125-$U125,"")</f>
      </c>
      <c r="W125" s="201">
        <f>IF($C125,IF($J125="Completado",0,MAX(0,TODAY()-$H125)),"")</f>
      </c>
      <c r="X125" s="201">
        <f>IF($C125,IF(ISNUMBER($H125),$R125-$H125,0),"")</f>
      </c>
      <c r="Y125" s="201">
        <f>IF($C125,COUNTIFS($G$7:$G$200,$G125,$J$7:$J$200,"&lt;&gt;Completado",$J$7:$J$200,"&lt;&gt;"),"")</f>
      </c>
      <c r="Z125" s="201">
        <f>IF($C125,AND($I125=0,'Proyecto Datos (OKR´s)'!$K125&lt;=TODAY(),$J125&lt;&gt;"Completado"),"")</f>
      </c>
      <c r="AA125" s="201">
        <f>IF($C125,ROUND(100*(0.35*$AK125+0.3*$AL125+0.2*$AM125+0.15*MEDIAN(0,($Y125-4)/8,1)),0),"")</f>
      </c>
      <c r="AB125" s="202">
        <f>IF($C125,IF($J125="Completado","—",IF($AA125&gt;=70,"Crítica",IF($AA125&gt;=45,"Alta",IF($AA125&gt;=25,"Media","Baja")))),"")</f>
      </c>
      <c r="AC125" s="202">
        <f>IF($C125,IF(LEN(TRIM($AN125))=0,"—",TRIM($AN125)),"")</f>
      </c>
      <c r="AD125" s="201">
        <f>IF($C125,IF($N125=9999,9999,IF($J125="Completado",$N125,MAX($N125,'Historial de Sprints'!$C$7))),"")</f>
      </c>
      <c r="AE125" s="201">
        <f>IF($C125,IF($AD125=9999,"(Sin sprint)",$AD125),"")</f>
      </c>
      <c r="AF125" s="201">
        <f>IF($C125,AND($N125&lt;&gt;9999,$AD125&lt;&gt;$N125),FALSE)</f>
      </c>
      <c r="AG125" s="201">
        <f>IF($AF125,'Historial de Sprints'!$C$5+$N125*'Historial de Sprints'!$C$6-1,"")</f>
      </c>
      <c r="AH125" s="202">
        <f>IF($AF125,"No completada al cierre del Sprint "&amp;$N125&amp;" -&gt; reasignada al Sprint "&amp;$AD125,"")</f>
      </c>
      <c r="AI125" s="201">
        <f>IF($AF125,$N125*100000+ROW(),"")</f>
      </c>
      <c r="AJ125" s="201">
        <f>IF($C125,$AA125*1000000-MEDIAN(-9999,$K125,9999)*100+(300-ROW()),"")</f>
      </c>
      <c r="AK125" s="201">
        <f>IF($C125,IF($J125="Completado",0,IF($K125&lt;0,1,IF($K125&lt;=3,0.9,IF($K125&lt;=7,0.7,IF($K125&lt;=14,0.45,0.2))))),"")</f>
      </c>
      <c r="AL125" s="201">
        <f>IF($C125,IF($J125="Completado",0,MEDIAN(0,MAX(-$V125,$W125/30),1)),"")</f>
      </c>
      <c r="AM125" s="201">
        <f>IF($C125,IF($J125="Completado",0,IF($Z125,1,IF(AND($I125&lt;0.5,$K125&lt;=7),0.7,0.3))),"")</f>
      </c>
      <c r="AN125" s="202">
        <f>IF($C125,IF(OR($V125&lt;-0.2,$W125&gt;0),"ATRASO ","")&amp;IF($Z125,"BLOQUEO ","")&amp;IF($Y125&gt;8,"SOBRECARGA ","")&amp;IF($X125&gt;0,"DESVÍO-PLAN ",""),"")</f>
      </c>
    </row>
    <row r="126">
      <c r="A126" s="201">
        <f>ROW()</f>
      </c>
      <c r="B126" s="201">
        <f>ISTEXT('Proyecto Datos (OKR´s)'!$K126)</f>
      </c>
      <c r="C126" s="201">
        <f>AND(LEN('Proyecto Datos (OKR´s)'!$G126)&gt;0,NOT($B126),OR(ISNUMBER('Proyecto Datos (OKR´s)'!$F126),ISNUMBER('Proyecto Datos (OKR´s)'!$L126)))</f>
      </c>
      <c r="D126" s="202">
        <f>IF($C126,IFERROR(LOOKUP(2,1/((ISTEXT('Proyecto Datos (OKR´s)'!$K$7:$K126))*(LEN('Proyecto Datos (OKR´s)'!$G$7:$G126)&gt;0)),'Proyecto Datos (OKR´s)'!$G$7:$G126),""),"")</f>
      </c>
      <c r="E126" s="201">
        <f>IF($C126,'Proyecto Datos (OKR´s)'!$E126,"")</f>
      </c>
      <c r="F126" s="202">
        <f>IF($C126,'Proyecto Datos (OKR´s)'!$G126,"")</f>
      </c>
      <c r="G126" s="202">
        <f>IF($C126,IF('Proyecto Datos (OKR´s)'!$I126="","(Sin asignar)",'Proyecto Datos (OKR´s)'!$I126),"")</f>
      </c>
      <c r="H126" s="201">
        <f>IF($C126,IF(ISNUMBER('Proyecto Datos (OKR´s)'!$F126),'Proyecto Datos (OKR´s)'!$F126,'Proyecto Datos (OKR´s)'!$L126),"")</f>
      </c>
      <c r="I126" s="201">
        <f>IF($C126,'Proyecto Datos (OKR´s)'!$J126,"")</f>
      </c>
      <c r="J126" s="202">
        <f>IF($C126,IF($I126&gt;=1,"Completado",IF($H126&lt;TODAY(),"Vencido",IF(($H126-TODAY())&lt;='Entregas Próximas'!$M$3,"Próximo a vencer","En curso"))),"")</f>
      </c>
      <c r="K126" s="201">
        <f>IF($C126,$H126-TODAY(),"")</f>
      </c>
      <c r="L126" s="201">
        <f>IF($C126,$AD126*1000000+$H126+ROW()/100000,"")</f>
      </c>
      <c r="M126" s="201">
        <f>IF($C126,IF($AD126=9999,"(Sin sprint)",$AD126),"")</f>
      </c>
      <c r="N126" s="201">
        <f>IF($C126,IF('Proyecto Datos (OKR´s)'!$E126="",9999,'Proyecto Datos (OKR´s)'!$E126),"")</f>
      </c>
      <c r="O126" s="201">
        <f>IF($C126,"T"&amp;TEXT(ROW(),"000"),"")</f>
      </c>
      <c r="R126" s="201">
        <f>IF($C126,IF(ISNUMBER('Proyecto Datos (OKR´s)'!$L126),'Proyecto Datos (OKR´s)'!$L126,$H126),"")</f>
      </c>
      <c r="S126" s="201">
        <f>IF($C126,$R126-'Proyecto Datos (OKR´s)'!$K126+1,"")</f>
      </c>
      <c r="T126" s="201">
        <f>IF($C126,MAX(0,TODAY()-'Proyecto Datos (OKR´s)'!$K126),"")</f>
      </c>
      <c r="U126" s="201">
        <f>IF($C126,MEDIAN(0,(TODAY()-'Proyecto Datos (OKR´s)'!$K126)/MAX(1,$R126-'Proyecto Datos (OKR´s)'!$K126),1),"")</f>
      </c>
      <c r="V126" s="201">
        <f>IF($C126,$I126-$U126,"")</f>
      </c>
      <c r="W126" s="201">
        <f>IF($C126,IF($J126="Completado",0,MAX(0,TODAY()-$H126)),"")</f>
      </c>
      <c r="X126" s="201">
        <f>IF($C126,IF(ISNUMBER($H126),$R126-$H126,0),"")</f>
      </c>
      <c r="Y126" s="201">
        <f>IF($C126,COUNTIFS($G$7:$G$200,$G126,$J$7:$J$200,"&lt;&gt;Completado",$J$7:$J$200,"&lt;&gt;"),"")</f>
      </c>
      <c r="Z126" s="201">
        <f>IF($C126,AND($I126=0,'Proyecto Datos (OKR´s)'!$K126&lt;=TODAY(),$J126&lt;&gt;"Completado"),"")</f>
      </c>
      <c r="AA126" s="201">
        <f>IF($C126,ROUND(100*(0.35*$AK126+0.3*$AL126+0.2*$AM126+0.15*MEDIAN(0,($Y126-4)/8,1)),0),"")</f>
      </c>
      <c r="AB126" s="202">
        <f>IF($C126,IF($J126="Completado","—",IF($AA126&gt;=70,"Crítica",IF($AA126&gt;=45,"Alta",IF($AA126&gt;=25,"Media","Baja")))),"")</f>
      </c>
      <c r="AC126" s="202">
        <f>IF($C126,IF(LEN(TRIM($AN126))=0,"—",TRIM($AN126)),"")</f>
      </c>
      <c r="AD126" s="201">
        <f>IF($C126,IF($N126=9999,9999,IF($J126="Completado",$N126,MAX($N126,'Historial de Sprints'!$C$7))),"")</f>
      </c>
      <c r="AE126" s="201">
        <f>IF($C126,IF($AD126=9999,"(Sin sprint)",$AD126),"")</f>
      </c>
      <c r="AF126" s="201">
        <f>IF($C126,AND($N126&lt;&gt;9999,$AD126&lt;&gt;$N126),FALSE)</f>
      </c>
      <c r="AG126" s="201">
        <f>IF($AF126,'Historial de Sprints'!$C$5+$N126*'Historial de Sprints'!$C$6-1,"")</f>
      </c>
      <c r="AH126" s="202">
        <f>IF($AF126,"No completada al cierre del Sprint "&amp;$N126&amp;" -&gt; reasignada al Sprint "&amp;$AD126,"")</f>
      </c>
      <c r="AI126" s="201">
        <f>IF($AF126,$N126*100000+ROW(),"")</f>
      </c>
      <c r="AJ126" s="201">
        <f>IF($C126,$AA126*1000000-MEDIAN(-9999,$K126,9999)*100+(300-ROW()),"")</f>
      </c>
      <c r="AK126" s="201">
        <f>IF($C126,IF($J126="Completado",0,IF($K126&lt;0,1,IF($K126&lt;=3,0.9,IF($K126&lt;=7,0.7,IF($K126&lt;=14,0.45,0.2))))),"")</f>
      </c>
      <c r="AL126" s="201">
        <f>IF($C126,IF($J126="Completado",0,MEDIAN(0,MAX(-$V126,$W126/30),1)),"")</f>
      </c>
      <c r="AM126" s="201">
        <f>IF($C126,IF($J126="Completado",0,IF($Z126,1,IF(AND($I126&lt;0.5,$K126&lt;=7),0.7,0.3))),"")</f>
      </c>
      <c r="AN126" s="202">
        <f>IF($C126,IF(OR($V126&lt;-0.2,$W126&gt;0),"ATRASO ","")&amp;IF($Z126,"BLOQUEO ","")&amp;IF($Y126&gt;8,"SOBRECARGA ","")&amp;IF($X126&gt;0,"DESVÍO-PLAN ",""),"")</f>
      </c>
    </row>
    <row r="127">
      <c r="A127" s="201">
        <f>ROW()</f>
      </c>
      <c r="B127" s="201">
        <f>ISTEXT('Proyecto Datos (OKR´s)'!$K127)</f>
      </c>
      <c r="C127" s="201">
        <f>AND(LEN('Proyecto Datos (OKR´s)'!$G127)&gt;0,NOT($B127),OR(ISNUMBER('Proyecto Datos (OKR´s)'!$F127),ISNUMBER('Proyecto Datos (OKR´s)'!$L127)))</f>
      </c>
      <c r="D127" s="202">
        <f>IF($C127,IFERROR(LOOKUP(2,1/((ISTEXT('Proyecto Datos (OKR´s)'!$K$7:$K127))*(LEN('Proyecto Datos (OKR´s)'!$G$7:$G127)&gt;0)),'Proyecto Datos (OKR´s)'!$G$7:$G127),""),"")</f>
      </c>
      <c r="E127" s="201">
        <f>IF($C127,'Proyecto Datos (OKR´s)'!$E127,"")</f>
      </c>
      <c r="F127" s="202">
        <f>IF($C127,'Proyecto Datos (OKR´s)'!$G127,"")</f>
      </c>
      <c r="G127" s="202">
        <f>IF($C127,IF('Proyecto Datos (OKR´s)'!$I127="","(Sin asignar)",'Proyecto Datos (OKR´s)'!$I127),"")</f>
      </c>
      <c r="H127" s="201">
        <f>IF($C127,IF(ISNUMBER('Proyecto Datos (OKR´s)'!$F127),'Proyecto Datos (OKR´s)'!$F127,'Proyecto Datos (OKR´s)'!$L127),"")</f>
      </c>
      <c r="I127" s="201">
        <f>IF($C127,'Proyecto Datos (OKR´s)'!$J127,"")</f>
      </c>
      <c r="J127" s="202">
        <f>IF($C127,IF($I127&gt;=1,"Completado",IF($H127&lt;TODAY(),"Vencido",IF(($H127-TODAY())&lt;='Entregas Próximas'!$M$3,"Próximo a vencer","En curso"))),"")</f>
      </c>
      <c r="K127" s="201">
        <f>IF($C127,$H127-TODAY(),"")</f>
      </c>
      <c r="L127" s="201">
        <f>IF($C127,$AD127*1000000+$H127+ROW()/100000,"")</f>
      </c>
      <c r="M127" s="201">
        <f>IF($C127,IF($AD127=9999,"(Sin sprint)",$AD127),"")</f>
      </c>
      <c r="N127" s="201">
        <f>IF($C127,IF('Proyecto Datos (OKR´s)'!$E127="",9999,'Proyecto Datos (OKR´s)'!$E127),"")</f>
      </c>
      <c r="O127" s="201">
        <f>IF($C127,"T"&amp;TEXT(ROW(),"000"),"")</f>
      </c>
      <c r="R127" s="201">
        <f>IF($C127,IF(ISNUMBER('Proyecto Datos (OKR´s)'!$L127),'Proyecto Datos (OKR´s)'!$L127,$H127),"")</f>
      </c>
      <c r="S127" s="201">
        <f>IF($C127,$R127-'Proyecto Datos (OKR´s)'!$K127+1,"")</f>
      </c>
      <c r="T127" s="201">
        <f>IF($C127,MAX(0,TODAY()-'Proyecto Datos (OKR´s)'!$K127),"")</f>
      </c>
      <c r="U127" s="201">
        <f>IF($C127,MEDIAN(0,(TODAY()-'Proyecto Datos (OKR´s)'!$K127)/MAX(1,$R127-'Proyecto Datos (OKR´s)'!$K127),1),"")</f>
      </c>
      <c r="V127" s="201">
        <f>IF($C127,$I127-$U127,"")</f>
      </c>
      <c r="W127" s="201">
        <f>IF($C127,IF($J127="Completado",0,MAX(0,TODAY()-$H127)),"")</f>
      </c>
      <c r="X127" s="201">
        <f>IF($C127,IF(ISNUMBER($H127),$R127-$H127,0),"")</f>
      </c>
      <c r="Y127" s="201">
        <f>IF($C127,COUNTIFS($G$7:$G$200,$G127,$J$7:$J$200,"&lt;&gt;Completado",$J$7:$J$200,"&lt;&gt;"),"")</f>
      </c>
      <c r="Z127" s="201">
        <f>IF($C127,AND($I127=0,'Proyecto Datos (OKR´s)'!$K127&lt;=TODAY(),$J127&lt;&gt;"Completado"),"")</f>
      </c>
      <c r="AA127" s="201">
        <f>IF($C127,ROUND(100*(0.35*$AK127+0.3*$AL127+0.2*$AM127+0.15*MEDIAN(0,($Y127-4)/8,1)),0),"")</f>
      </c>
      <c r="AB127" s="202">
        <f>IF($C127,IF($J127="Completado","—",IF($AA127&gt;=70,"Crítica",IF($AA127&gt;=45,"Alta",IF($AA127&gt;=25,"Media","Baja")))),"")</f>
      </c>
      <c r="AC127" s="202">
        <f>IF($C127,IF(LEN(TRIM($AN127))=0,"—",TRIM($AN127)),"")</f>
      </c>
      <c r="AD127" s="201">
        <f>IF($C127,IF($N127=9999,9999,IF($J127="Completado",$N127,MAX($N127,'Historial de Sprints'!$C$7))),"")</f>
      </c>
      <c r="AE127" s="201">
        <f>IF($C127,IF($AD127=9999,"(Sin sprint)",$AD127),"")</f>
      </c>
      <c r="AF127" s="201">
        <f>IF($C127,AND($N127&lt;&gt;9999,$AD127&lt;&gt;$N127),FALSE)</f>
      </c>
      <c r="AG127" s="201">
        <f>IF($AF127,'Historial de Sprints'!$C$5+$N127*'Historial de Sprints'!$C$6-1,"")</f>
      </c>
      <c r="AH127" s="202">
        <f>IF($AF127,"No completada al cierre del Sprint "&amp;$N127&amp;" -&gt; reasignada al Sprint "&amp;$AD127,"")</f>
      </c>
      <c r="AI127" s="201">
        <f>IF($AF127,$N127*100000+ROW(),"")</f>
      </c>
      <c r="AJ127" s="201">
        <f>IF($C127,$AA127*1000000-MEDIAN(-9999,$K127,9999)*100+(300-ROW()),"")</f>
      </c>
      <c r="AK127" s="201">
        <f>IF($C127,IF($J127="Completado",0,IF($K127&lt;0,1,IF($K127&lt;=3,0.9,IF($K127&lt;=7,0.7,IF($K127&lt;=14,0.45,0.2))))),"")</f>
      </c>
      <c r="AL127" s="201">
        <f>IF($C127,IF($J127="Completado",0,MEDIAN(0,MAX(-$V127,$W127/30),1)),"")</f>
      </c>
      <c r="AM127" s="201">
        <f>IF($C127,IF($J127="Completado",0,IF($Z127,1,IF(AND($I127&lt;0.5,$K127&lt;=7),0.7,0.3))),"")</f>
      </c>
      <c r="AN127" s="202">
        <f>IF($C127,IF(OR($V127&lt;-0.2,$W127&gt;0),"ATRASO ","")&amp;IF($Z127,"BLOQUEO ","")&amp;IF($Y127&gt;8,"SOBRECARGA ","")&amp;IF($X127&gt;0,"DESVÍO-PLAN ",""),"")</f>
      </c>
    </row>
    <row r="128">
      <c r="A128" s="201">
        <f>ROW()</f>
      </c>
      <c r="B128" s="201">
        <f>ISTEXT('Proyecto Datos (OKR´s)'!$K128)</f>
      </c>
      <c r="C128" s="201">
        <f>AND(LEN('Proyecto Datos (OKR´s)'!$G128)&gt;0,NOT($B128),OR(ISNUMBER('Proyecto Datos (OKR´s)'!$F128),ISNUMBER('Proyecto Datos (OKR´s)'!$L128)))</f>
      </c>
      <c r="D128" s="202">
        <f>IF($C128,IFERROR(LOOKUP(2,1/((ISTEXT('Proyecto Datos (OKR´s)'!$K$7:$K128))*(LEN('Proyecto Datos (OKR´s)'!$G$7:$G128)&gt;0)),'Proyecto Datos (OKR´s)'!$G$7:$G128),""),"")</f>
      </c>
      <c r="E128" s="201">
        <f>IF($C128,'Proyecto Datos (OKR´s)'!$E128,"")</f>
      </c>
      <c r="F128" s="202">
        <f>IF($C128,'Proyecto Datos (OKR´s)'!$G128,"")</f>
      </c>
      <c r="G128" s="202">
        <f>IF($C128,IF('Proyecto Datos (OKR´s)'!$I128="","(Sin asignar)",'Proyecto Datos (OKR´s)'!$I128),"")</f>
      </c>
      <c r="H128" s="201">
        <f>IF($C128,IF(ISNUMBER('Proyecto Datos (OKR´s)'!$F128),'Proyecto Datos (OKR´s)'!$F128,'Proyecto Datos (OKR´s)'!$L128),"")</f>
      </c>
      <c r="I128" s="201">
        <f>IF($C128,'Proyecto Datos (OKR´s)'!$J128,"")</f>
      </c>
      <c r="J128" s="202">
        <f>IF($C128,IF($I128&gt;=1,"Completado",IF($H128&lt;TODAY(),"Vencido",IF(($H128-TODAY())&lt;='Entregas Próximas'!$M$3,"Próximo a vencer","En curso"))),"")</f>
      </c>
      <c r="K128" s="201">
        <f>IF($C128,$H128-TODAY(),"")</f>
      </c>
      <c r="L128" s="201">
        <f>IF($C128,$AD128*1000000+$H128+ROW()/100000,"")</f>
      </c>
      <c r="M128" s="201">
        <f>IF($C128,IF($AD128=9999,"(Sin sprint)",$AD128),"")</f>
      </c>
      <c r="N128" s="201">
        <f>IF($C128,IF('Proyecto Datos (OKR´s)'!$E128="",9999,'Proyecto Datos (OKR´s)'!$E128),"")</f>
      </c>
      <c r="O128" s="201">
        <f>IF($C128,"T"&amp;TEXT(ROW(),"000"),"")</f>
      </c>
      <c r="R128" s="201">
        <f>IF($C128,IF(ISNUMBER('Proyecto Datos (OKR´s)'!$L128),'Proyecto Datos (OKR´s)'!$L128,$H128),"")</f>
      </c>
      <c r="S128" s="201">
        <f>IF($C128,$R128-'Proyecto Datos (OKR´s)'!$K128+1,"")</f>
      </c>
      <c r="T128" s="201">
        <f>IF($C128,MAX(0,TODAY()-'Proyecto Datos (OKR´s)'!$K128),"")</f>
      </c>
      <c r="U128" s="201">
        <f>IF($C128,MEDIAN(0,(TODAY()-'Proyecto Datos (OKR´s)'!$K128)/MAX(1,$R128-'Proyecto Datos (OKR´s)'!$K128),1),"")</f>
      </c>
      <c r="V128" s="201">
        <f>IF($C128,$I128-$U128,"")</f>
      </c>
      <c r="W128" s="201">
        <f>IF($C128,IF($J128="Completado",0,MAX(0,TODAY()-$H128)),"")</f>
      </c>
      <c r="X128" s="201">
        <f>IF($C128,IF(ISNUMBER($H128),$R128-$H128,0),"")</f>
      </c>
      <c r="Y128" s="201">
        <f>IF($C128,COUNTIFS($G$7:$G$200,$G128,$J$7:$J$200,"&lt;&gt;Completado",$J$7:$J$200,"&lt;&gt;"),"")</f>
      </c>
      <c r="Z128" s="201">
        <f>IF($C128,AND($I128=0,'Proyecto Datos (OKR´s)'!$K128&lt;=TODAY(),$J128&lt;&gt;"Completado"),"")</f>
      </c>
      <c r="AA128" s="201">
        <f>IF($C128,ROUND(100*(0.35*$AK128+0.3*$AL128+0.2*$AM128+0.15*MEDIAN(0,($Y128-4)/8,1)),0),"")</f>
      </c>
      <c r="AB128" s="202">
        <f>IF($C128,IF($J128="Completado","—",IF($AA128&gt;=70,"Crítica",IF($AA128&gt;=45,"Alta",IF($AA128&gt;=25,"Media","Baja")))),"")</f>
      </c>
      <c r="AC128" s="202">
        <f>IF($C128,IF(LEN(TRIM($AN128))=0,"—",TRIM($AN128)),"")</f>
      </c>
      <c r="AD128" s="201">
        <f>IF($C128,IF($N128=9999,9999,IF($J128="Completado",$N128,MAX($N128,'Historial de Sprints'!$C$7))),"")</f>
      </c>
      <c r="AE128" s="201">
        <f>IF($C128,IF($AD128=9999,"(Sin sprint)",$AD128),"")</f>
      </c>
      <c r="AF128" s="201">
        <f>IF($C128,AND($N128&lt;&gt;9999,$AD128&lt;&gt;$N128),FALSE)</f>
      </c>
      <c r="AG128" s="201">
        <f>IF($AF128,'Historial de Sprints'!$C$5+$N128*'Historial de Sprints'!$C$6-1,"")</f>
      </c>
      <c r="AH128" s="202">
        <f>IF($AF128,"No completada al cierre del Sprint "&amp;$N128&amp;" -&gt; reasignada al Sprint "&amp;$AD128,"")</f>
      </c>
      <c r="AI128" s="201">
        <f>IF($AF128,$N128*100000+ROW(),"")</f>
      </c>
      <c r="AJ128" s="201">
        <f>IF($C128,$AA128*1000000-MEDIAN(-9999,$K128,9999)*100+(300-ROW()),"")</f>
      </c>
      <c r="AK128" s="201">
        <f>IF($C128,IF($J128="Completado",0,IF($K128&lt;0,1,IF($K128&lt;=3,0.9,IF($K128&lt;=7,0.7,IF($K128&lt;=14,0.45,0.2))))),"")</f>
      </c>
      <c r="AL128" s="201">
        <f>IF($C128,IF($J128="Completado",0,MEDIAN(0,MAX(-$V128,$W128/30),1)),"")</f>
      </c>
      <c r="AM128" s="201">
        <f>IF($C128,IF($J128="Completado",0,IF($Z128,1,IF(AND($I128&lt;0.5,$K128&lt;=7),0.7,0.3))),"")</f>
      </c>
      <c r="AN128" s="202">
        <f>IF($C128,IF(OR($V128&lt;-0.2,$W128&gt;0),"ATRASO ","")&amp;IF($Z128,"BLOQUEO ","")&amp;IF($Y128&gt;8,"SOBRECARGA ","")&amp;IF($X128&gt;0,"DESVÍO-PLAN ",""),"")</f>
      </c>
    </row>
    <row r="129">
      <c r="A129" s="201">
        <f>ROW()</f>
      </c>
      <c r="B129" s="201">
        <f>ISTEXT('Proyecto Datos (OKR´s)'!$K129)</f>
      </c>
      <c r="C129" s="201">
        <f>AND(LEN('Proyecto Datos (OKR´s)'!$G129)&gt;0,NOT($B129),OR(ISNUMBER('Proyecto Datos (OKR´s)'!$F129),ISNUMBER('Proyecto Datos (OKR´s)'!$L129)))</f>
      </c>
      <c r="D129" s="202">
        <f>IF($C129,IFERROR(LOOKUP(2,1/((ISTEXT('Proyecto Datos (OKR´s)'!$K$7:$K129))*(LEN('Proyecto Datos (OKR´s)'!$G$7:$G129)&gt;0)),'Proyecto Datos (OKR´s)'!$G$7:$G129),""),"")</f>
      </c>
      <c r="E129" s="201">
        <f>IF($C129,'Proyecto Datos (OKR´s)'!$E129,"")</f>
      </c>
      <c r="F129" s="202">
        <f>IF($C129,'Proyecto Datos (OKR´s)'!$G129,"")</f>
      </c>
      <c r="G129" s="202">
        <f>IF($C129,IF('Proyecto Datos (OKR´s)'!$I129="","(Sin asignar)",'Proyecto Datos (OKR´s)'!$I129),"")</f>
      </c>
      <c r="H129" s="201">
        <f>IF($C129,IF(ISNUMBER('Proyecto Datos (OKR´s)'!$F129),'Proyecto Datos (OKR´s)'!$F129,'Proyecto Datos (OKR´s)'!$L129),"")</f>
      </c>
      <c r="I129" s="201">
        <f>IF($C129,'Proyecto Datos (OKR´s)'!$J129,"")</f>
      </c>
      <c r="J129" s="202">
        <f>IF($C129,IF($I129&gt;=1,"Completado",IF($H129&lt;TODAY(),"Vencido",IF(($H129-TODAY())&lt;='Entregas Próximas'!$M$3,"Próximo a vencer","En curso"))),"")</f>
      </c>
      <c r="K129" s="201">
        <f>IF($C129,$H129-TODAY(),"")</f>
      </c>
      <c r="L129" s="201">
        <f>IF($C129,$AD129*1000000+$H129+ROW()/100000,"")</f>
      </c>
      <c r="M129" s="201">
        <f>IF($C129,IF($AD129=9999,"(Sin sprint)",$AD129),"")</f>
      </c>
      <c r="N129" s="201">
        <f>IF($C129,IF('Proyecto Datos (OKR´s)'!$E129="",9999,'Proyecto Datos (OKR´s)'!$E129),"")</f>
      </c>
      <c r="O129" s="201">
        <f>IF($C129,"T"&amp;TEXT(ROW(),"000"),"")</f>
      </c>
      <c r="R129" s="201">
        <f>IF($C129,IF(ISNUMBER('Proyecto Datos (OKR´s)'!$L129),'Proyecto Datos (OKR´s)'!$L129,$H129),"")</f>
      </c>
      <c r="S129" s="201">
        <f>IF($C129,$R129-'Proyecto Datos (OKR´s)'!$K129+1,"")</f>
      </c>
      <c r="T129" s="201">
        <f>IF($C129,MAX(0,TODAY()-'Proyecto Datos (OKR´s)'!$K129),"")</f>
      </c>
      <c r="U129" s="201">
        <f>IF($C129,MEDIAN(0,(TODAY()-'Proyecto Datos (OKR´s)'!$K129)/MAX(1,$R129-'Proyecto Datos (OKR´s)'!$K129),1),"")</f>
      </c>
      <c r="V129" s="201">
        <f>IF($C129,$I129-$U129,"")</f>
      </c>
      <c r="W129" s="201">
        <f>IF($C129,IF($J129="Completado",0,MAX(0,TODAY()-$H129)),"")</f>
      </c>
      <c r="X129" s="201">
        <f>IF($C129,IF(ISNUMBER($H129),$R129-$H129,0),"")</f>
      </c>
      <c r="Y129" s="201">
        <f>IF($C129,COUNTIFS($G$7:$G$200,$G129,$J$7:$J$200,"&lt;&gt;Completado",$J$7:$J$200,"&lt;&gt;"),"")</f>
      </c>
      <c r="Z129" s="201">
        <f>IF($C129,AND($I129=0,'Proyecto Datos (OKR´s)'!$K129&lt;=TODAY(),$J129&lt;&gt;"Completado"),"")</f>
      </c>
      <c r="AA129" s="201">
        <f>IF($C129,ROUND(100*(0.35*$AK129+0.3*$AL129+0.2*$AM129+0.15*MEDIAN(0,($Y129-4)/8,1)),0),"")</f>
      </c>
      <c r="AB129" s="202">
        <f>IF($C129,IF($J129="Completado","—",IF($AA129&gt;=70,"Crítica",IF($AA129&gt;=45,"Alta",IF($AA129&gt;=25,"Media","Baja")))),"")</f>
      </c>
      <c r="AC129" s="202">
        <f>IF($C129,IF(LEN(TRIM($AN129))=0,"—",TRIM($AN129)),"")</f>
      </c>
      <c r="AD129" s="201">
        <f>IF($C129,IF($N129=9999,9999,IF($J129="Completado",$N129,MAX($N129,'Historial de Sprints'!$C$7))),"")</f>
      </c>
      <c r="AE129" s="201">
        <f>IF($C129,IF($AD129=9999,"(Sin sprint)",$AD129),"")</f>
      </c>
      <c r="AF129" s="201">
        <f>IF($C129,AND($N129&lt;&gt;9999,$AD129&lt;&gt;$N129),FALSE)</f>
      </c>
      <c r="AG129" s="201">
        <f>IF($AF129,'Historial de Sprints'!$C$5+$N129*'Historial de Sprints'!$C$6-1,"")</f>
      </c>
      <c r="AH129" s="202">
        <f>IF($AF129,"No completada al cierre del Sprint "&amp;$N129&amp;" -&gt; reasignada al Sprint "&amp;$AD129,"")</f>
      </c>
      <c r="AI129" s="201">
        <f>IF($AF129,$N129*100000+ROW(),"")</f>
      </c>
      <c r="AJ129" s="201">
        <f>IF($C129,$AA129*1000000-MEDIAN(-9999,$K129,9999)*100+(300-ROW()),"")</f>
      </c>
      <c r="AK129" s="201">
        <f>IF($C129,IF($J129="Completado",0,IF($K129&lt;0,1,IF($K129&lt;=3,0.9,IF($K129&lt;=7,0.7,IF($K129&lt;=14,0.45,0.2))))),"")</f>
      </c>
      <c r="AL129" s="201">
        <f>IF($C129,IF($J129="Completado",0,MEDIAN(0,MAX(-$V129,$W129/30),1)),"")</f>
      </c>
      <c r="AM129" s="201">
        <f>IF($C129,IF($J129="Completado",0,IF($Z129,1,IF(AND($I129&lt;0.5,$K129&lt;=7),0.7,0.3))),"")</f>
      </c>
      <c r="AN129" s="202">
        <f>IF($C129,IF(OR($V129&lt;-0.2,$W129&gt;0),"ATRASO ","")&amp;IF($Z129,"BLOQUEO ","")&amp;IF($Y129&gt;8,"SOBRECARGA ","")&amp;IF($X129&gt;0,"DESVÍO-PLAN ",""),"")</f>
      </c>
    </row>
    <row r="130">
      <c r="A130" s="201">
        <f>ROW()</f>
      </c>
      <c r="B130" s="201">
        <f>ISTEXT('Proyecto Datos (OKR´s)'!$K130)</f>
      </c>
      <c r="C130" s="201">
        <f>AND(LEN('Proyecto Datos (OKR´s)'!$G130)&gt;0,NOT($B130),OR(ISNUMBER('Proyecto Datos (OKR´s)'!$F130),ISNUMBER('Proyecto Datos (OKR´s)'!$L130)))</f>
      </c>
      <c r="D130" s="202">
        <f>IF($C130,IFERROR(LOOKUP(2,1/((ISTEXT('Proyecto Datos (OKR´s)'!$K$7:$K130))*(LEN('Proyecto Datos (OKR´s)'!$G$7:$G130)&gt;0)),'Proyecto Datos (OKR´s)'!$G$7:$G130),""),"")</f>
      </c>
      <c r="E130" s="201">
        <f>IF($C130,'Proyecto Datos (OKR´s)'!$E130,"")</f>
      </c>
      <c r="F130" s="202">
        <f>IF($C130,'Proyecto Datos (OKR´s)'!$G130,"")</f>
      </c>
      <c r="G130" s="202">
        <f>IF($C130,IF('Proyecto Datos (OKR´s)'!$I130="","(Sin asignar)",'Proyecto Datos (OKR´s)'!$I130),"")</f>
      </c>
      <c r="H130" s="201">
        <f>IF($C130,IF(ISNUMBER('Proyecto Datos (OKR´s)'!$F130),'Proyecto Datos (OKR´s)'!$F130,'Proyecto Datos (OKR´s)'!$L130),"")</f>
      </c>
      <c r="I130" s="201">
        <f>IF($C130,'Proyecto Datos (OKR´s)'!$J130,"")</f>
      </c>
      <c r="J130" s="202">
        <f>IF($C130,IF($I130&gt;=1,"Completado",IF($H130&lt;TODAY(),"Vencido",IF(($H130-TODAY())&lt;='Entregas Próximas'!$M$3,"Próximo a vencer","En curso"))),"")</f>
      </c>
      <c r="K130" s="201">
        <f>IF($C130,$H130-TODAY(),"")</f>
      </c>
      <c r="L130" s="201">
        <f>IF($C130,$AD130*1000000+$H130+ROW()/100000,"")</f>
      </c>
      <c r="M130" s="201">
        <f>IF($C130,IF($AD130=9999,"(Sin sprint)",$AD130),"")</f>
      </c>
      <c r="N130" s="201">
        <f>IF($C130,IF('Proyecto Datos (OKR´s)'!$E130="",9999,'Proyecto Datos (OKR´s)'!$E130),"")</f>
      </c>
      <c r="O130" s="201">
        <f>IF($C130,"T"&amp;TEXT(ROW(),"000"),"")</f>
      </c>
      <c r="R130" s="201">
        <f>IF($C130,IF(ISNUMBER('Proyecto Datos (OKR´s)'!$L130),'Proyecto Datos (OKR´s)'!$L130,$H130),"")</f>
      </c>
      <c r="S130" s="201">
        <f>IF($C130,$R130-'Proyecto Datos (OKR´s)'!$K130+1,"")</f>
      </c>
      <c r="T130" s="201">
        <f>IF($C130,MAX(0,TODAY()-'Proyecto Datos (OKR´s)'!$K130),"")</f>
      </c>
      <c r="U130" s="201">
        <f>IF($C130,MEDIAN(0,(TODAY()-'Proyecto Datos (OKR´s)'!$K130)/MAX(1,$R130-'Proyecto Datos (OKR´s)'!$K130),1),"")</f>
      </c>
      <c r="V130" s="201">
        <f>IF($C130,$I130-$U130,"")</f>
      </c>
      <c r="W130" s="201">
        <f>IF($C130,IF($J130="Completado",0,MAX(0,TODAY()-$H130)),"")</f>
      </c>
      <c r="X130" s="201">
        <f>IF($C130,IF(ISNUMBER($H130),$R130-$H130,0),"")</f>
      </c>
      <c r="Y130" s="201">
        <f>IF($C130,COUNTIFS($G$7:$G$200,$G130,$J$7:$J$200,"&lt;&gt;Completado",$J$7:$J$200,"&lt;&gt;"),"")</f>
      </c>
      <c r="Z130" s="201">
        <f>IF($C130,AND($I130=0,'Proyecto Datos (OKR´s)'!$K130&lt;=TODAY(),$J130&lt;&gt;"Completado"),"")</f>
      </c>
      <c r="AA130" s="201">
        <f>IF($C130,ROUND(100*(0.35*$AK130+0.3*$AL130+0.2*$AM130+0.15*MEDIAN(0,($Y130-4)/8,1)),0),"")</f>
      </c>
      <c r="AB130" s="202">
        <f>IF($C130,IF($J130="Completado","—",IF($AA130&gt;=70,"Crítica",IF($AA130&gt;=45,"Alta",IF($AA130&gt;=25,"Media","Baja")))),"")</f>
      </c>
      <c r="AC130" s="202">
        <f>IF($C130,IF(LEN(TRIM($AN130))=0,"—",TRIM($AN130)),"")</f>
      </c>
      <c r="AD130" s="201">
        <f>IF($C130,IF($N130=9999,9999,IF($J130="Completado",$N130,MAX($N130,'Historial de Sprints'!$C$7))),"")</f>
      </c>
      <c r="AE130" s="201">
        <f>IF($C130,IF($AD130=9999,"(Sin sprint)",$AD130),"")</f>
      </c>
      <c r="AF130" s="201">
        <f>IF($C130,AND($N130&lt;&gt;9999,$AD130&lt;&gt;$N130),FALSE)</f>
      </c>
      <c r="AG130" s="201">
        <f>IF($AF130,'Historial de Sprints'!$C$5+$N130*'Historial de Sprints'!$C$6-1,"")</f>
      </c>
      <c r="AH130" s="202">
        <f>IF($AF130,"No completada al cierre del Sprint "&amp;$N130&amp;" -&gt; reasignada al Sprint "&amp;$AD130,"")</f>
      </c>
      <c r="AI130" s="201">
        <f>IF($AF130,$N130*100000+ROW(),"")</f>
      </c>
      <c r="AJ130" s="201">
        <f>IF($C130,$AA130*1000000-MEDIAN(-9999,$K130,9999)*100+(300-ROW()),"")</f>
      </c>
      <c r="AK130" s="201">
        <f>IF($C130,IF($J130="Completado",0,IF($K130&lt;0,1,IF($K130&lt;=3,0.9,IF($K130&lt;=7,0.7,IF($K130&lt;=14,0.45,0.2))))),"")</f>
      </c>
      <c r="AL130" s="201">
        <f>IF($C130,IF($J130="Completado",0,MEDIAN(0,MAX(-$V130,$W130/30),1)),"")</f>
      </c>
      <c r="AM130" s="201">
        <f>IF($C130,IF($J130="Completado",0,IF($Z130,1,IF(AND($I130&lt;0.5,$K130&lt;=7),0.7,0.3))),"")</f>
      </c>
      <c r="AN130" s="202">
        <f>IF($C130,IF(OR($V130&lt;-0.2,$W130&gt;0),"ATRASO ","")&amp;IF($Z130,"BLOQUEO ","")&amp;IF($Y130&gt;8,"SOBRECARGA ","")&amp;IF($X130&gt;0,"DESVÍO-PLAN ",""),"")</f>
      </c>
    </row>
    <row r="131">
      <c r="A131" s="201">
        <f>ROW()</f>
      </c>
      <c r="B131" s="201">
        <f>ISTEXT('Proyecto Datos (OKR´s)'!$K131)</f>
      </c>
      <c r="C131" s="201">
        <f>AND(LEN('Proyecto Datos (OKR´s)'!$G131)&gt;0,NOT($B131),OR(ISNUMBER('Proyecto Datos (OKR´s)'!$F131),ISNUMBER('Proyecto Datos (OKR´s)'!$L131)))</f>
      </c>
      <c r="D131" s="202">
        <f>IF($C131,IFERROR(LOOKUP(2,1/((ISTEXT('Proyecto Datos (OKR´s)'!$K$7:$K131))*(LEN('Proyecto Datos (OKR´s)'!$G$7:$G131)&gt;0)),'Proyecto Datos (OKR´s)'!$G$7:$G131),""),"")</f>
      </c>
      <c r="E131" s="201">
        <f>IF($C131,'Proyecto Datos (OKR´s)'!$E131,"")</f>
      </c>
      <c r="F131" s="202">
        <f>IF($C131,'Proyecto Datos (OKR´s)'!$G131,"")</f>
      </c>
      <c r="G131" s="202">
        <f>IF($C131,IF('Proyecto Datos (OKR´s)'!$I131="","(Sin asignar)",'Proyecto Datos (OKR´s)'!$I131),"")</f>
      </c>
      <c r="H131" s="201">
        <f>IF($C131,IF(ISNUMBER('Proyecto Datos (OKR´s)'!$F131),'Proyecto Datos (OKR´s)'!$F131,'Proyecto Datos (OKR´s)'!$L131),"")</f>
      </c>
      <c r="I131" s="201">
        <f>IF($C131,'Proyecto Datos (OKR´s)'!$J131,"")</f>
      </c>
      <c r="J131" s="202">
        <f>IF($C131,IF($I131&gt;=1,"Completado",IF($H131&lt;TODAY(),"Vencido",IF(($H131-TODAY())&lt;='Entregas Próximas'!$M$3,"Próximo a vencer","En curso"))),"")</f>
      </c>
      <c r="K131" s="201">
        <f>IF($C131,$H131-TODAY(),"")</f>
      </c>
      <c r="L131" s="201">
        <f>IF($C131,$AD131*1000000+$H131+ROW()/100000,"")</f>
      </c>
      <c r="M131" s="201">
        <f>IF($C131,IF($AD131=9999,"(Sin sprint)",$AD131),"")</f>
      </c>
      <c r="N131" s="201">
        <f>IF($C131,IF('Proyecto Datos (OKR´s)'!$E131="",9999,'Proyecto Datos (OKR´s)'!$E131),"")</f>
      </c>
      <c r="O131" s="201">
        <f>IF($C131,"T"&amp;TEXT(ROW(),"000"),"")</f>
      </c>
      <c r="R131" s="201">
        <f>IF($C131,IF(ISNUMBER('Proyecto Datos (OKR´s)'!$L131),'Proyecto Datos (OKR´s)'!$L131,$H131),"")</f>
      </c>
      <c r="S131" s="201">
        <f>IF($C131,$R131-'Proyecto Datos (OKR´s)'!$K131+1,"")</f>
      </c>
      <c r="T131" s="201">
        <f>IF($C131,MAX(0,TODAY()-'Proyecto Datos (OKR´s)'!$K131),"")</f>
      </c>
      <c r="U131" s="201">
        <f>IF($C131,MEDIAN(0,(TODAY()-'Proyecto Datos (OKR´s)'!$K131)/MAX(1,$R131-'Proyecto Datos (OKR´s)'!$K131),1),"")</f>
      </c>
      <c r="V131" s="201">
        <f>IF($C131,$I131-$U131,"")</f>
      </c>
      <c r="W131" s="201">
        <f>IF($C131,IF($J131="Completado",0,MAX(0,TODAY()-$H131)),"")</f>
      </c>
      <c r="X131" s="201">
        <f>IF($C131,IF(ISNUMBER($H131),$R131-$H131,0),"")</f>
      </c>
      <c r="Y131" s="201">
        <f>IF($C131,COUNTIFS($G$7:$G$200,$G131,$J$7:$J$200,"&lt;&gt;Completado",$J$7:$J$200,"&lt;&gt;"),"")</f>
      </c>
      <c r="Z131" s="201">
        <f>IF($C131,AND($I131=0,'Proyecto Datos (OKR´s)'!$K131&lt;=TODAY(),$J131&lt;&gt;"Completado"),"")</f>
      </c>
      <c r="AA131" s="201">
        <f>IF($C131,ROUND(100*(0.35*$AK131+0.3*$AL131+0.2*$AM131+0.15*MEDIAN(0,($Y131-4)/8,1)),0),"")</f>
      </c>
      <c r="AB131" s="202">
        <f>IF($C131,IF($J131="Completado","—",IF($AA131&gt;=70,"Crítica",IF($AA131&gt;=45,"Alta",IF($AA131&gt;=25,"Media","Baja")))),"")</f>
      </c>
      <c r="AC131" s="202">
        <f>IF($C131,IF(LEN(TRIM($AN131))=0,"—",TRIM($AN131)),"")</f>
      </c>
      <c r="AD131" s="201">
        <f>IF($C131,IF($N131=9999,9999,IF($J131="Completado",$N131,MAX($N131,'Historial de Sprints'!$C$7))),"")</f>
      </c>
      <c r="AE131" s="201">
        <f>IF($C131,IF($AD131=9999,"(Sin sprint)",$AD131),"")</f>
      </c>
      <c r="AF131" s="201">
        <f>IF($C131,AND($N131&lt;&gt;9999,$AD131&lt;&gt;$N131),FALSE)</f>
      </c>
      <c r="AG131" s="201">
        <f>IF($AF131,'Historial de Sprints'!$C$5+$N131*'Historial de Sprints'!$C$6-1,"")</f>
      </c>
      <c r="AH131" s="202">
        <f>IF($AF131,"No completada al cierre del Sprint "&amp;$N131&amp;" -&gt; reasignada al Sprint "&amp;$AD131,"")</f>
      </c>
      <c r="AI131" s="201">
        <f>IF($AF131,$N131*100000+ROW(),"")</f>
      </c>
      <c r="AJ131" s="201">
        <f>IF($C131,$AA131*1000000-MEDIAN(-9999,$K131,9999)*100+(300-ROW()),"")</f>
      </c>
      <c r="AK131" s="201">
        <f>IF($C131,IF($J131="Completado",0,IF($K131&lt;0,1,IF($K131&lt;=3,0.9,IF($K131&lt;=7,0.7,IF($K131&lt;=14,0.45,0.2))))),"")</f>
      </c>
      <c r="AL131" s="201">
        <f>IF($C131,IF($J131="Completado",0,MEDIAN(0,MAX(-$V131,$W131/30),1)),"")</f>
      </c>
      <c r="AM131" s="201">
        <f>IF($C131,IF($J131="Completado",0,IF($Z131,1,IF(AND($I131&lt;0.5,$K131&lt;=7),0.7,0.3))),"")</f>
      </c>
      <c r="AN131" s="202">
        <f>IF($C131,IF(OR($V131&lt;-0.2,$W131&gt;0),"ATRASO ","")&amp;IF($Z131,"BLOQUEO ","")&amp;IF($Y131&gt;8,"SOBRECARGA ","")&amp;IF($X131&gt;0,"DESVÍO-PLAN ",""),"")</f>
      </c>
    </row>
    <row r="132">
      <c r="A132" s="201">
        <f>ROW()</f>
      </c>
      <c r="B132" s="201">
        <f>ISTEXT('Proyecto Datos (OKR´s)'!$K132)</f>
      </c>
      <c r="C132" s="201">
        <f>AND(LEN('Proyecto Datos (OKR´s)'!$G132)&gt;0,NOT($B132),OR(ISNUMBER('Proyecto Datos (OKR´s)'!$F132),ISNUMBER('Proyecto Datos (OKR´s)'!$L132)))</f>
      </c>
      <c r="D132" s="202">
        <f>IF($C132,IFERROR(LOOKUP(2,1/((ISTEXT('Proyecto Datos (OKR´s)'!$K$7:$K132))*(LEN('Proyecto Datos (OKR´s)'!$G$7:$G132)&gt;0)),'Proyecto Datos (OKR´s)'!$G$7:$G132),""),"")</f>
      </c>
      <c r="E132" s="201">
        <f>IF($C132,'Proyecto Datos (OKR´s)'!$E132,"")</f>
      </c>
      <c r="F132" s="202">
        <f>IF($C132,'Proyecto Datos (OKR´s)'!$G132,"")</f>
      </c>
      <c r="G132" s="202">
        <f>IF($C132,IF('Proyecto Datos (OKR´s)'!$I132="","(Sin asignar)",'Proyecto Datos (OKR´s)'!$I132),"")</f>
      </c>
      <c r="H132" s="201">
        <f>IF($C132,IF(ISNUMBER('Proyecto Datos (OKR´s)'!$F132),'Proyecto Datos (OKR´s)'!$F132,'Proyecto Datos (OKR´s)'!$L132),"")</f>
      </c>
      <c r="I132" s="201">
        <f>IF($C132,'Proyecto Datos (OKR´s)'!$J132,"")</f>
      </c>
      <c r="J132" s="202">
        <f>IF($C132,IF($I132&gt;=1,"Completado",IF($H132&lt;TODAY(),"Vencido",IF(($H132-TODAY())&lt;='Entregas Próximas'!$M$3,"Próximo a vencer","En curso"))),"")</f>
      </c>
      <c r="K132" s="201">
        <f>IF($C132,$H132-TODAY(),"")</f>
      </c>
      <c r="L132" s="201">
        <f>IF($C132,$AD132*1000000+$H132+ROW()/100000,"")</f>
      </c>
      <c r="M132" s="201">
        <f>IF($C132,IF($AD132=9999,"(Sin sprint)",$AD132),"")</f>
      </c>
      <c r="N132" s="201">
        <f>IF($C132,IF('Proyecto Datos (OKR´s)'!$E132="",9999,'Proyecto Datos (OKR´s)'!$E132),"")</f>
      </c>
      <c r="O132" s="201">
        <f>IF($C132,"T"&amp;TEXT(ROW(),"000"),"")</f>
      </c>
      <c r="R132" s="201">
        <f>IF($C132,IF(ISNUMBER('Proyecto Datos (OKR´s)'!$L132),'Proyecto Datos (OKR´s)'!$L132,$H132),"")</f>
      </c>
      <c r="S132" s="201">
        <f>IF($C132,$R132-'Proyecto Datos (OKR´s)'!$K132+1,"")</f>
      </c>
      <c r="T132" s="201">
        <f>IF($C132,MAX(0,TODAY()-'Proyecto Datos (OKR´s)'!$K132),"")</f>
      </c>
      <c r="U132" s="201">
        <f>IF($C132,MEDIAN(0,(TODAY()-'Proyecto Datos (OKR´s)'!$K132)/MAX(1,$R132-'Proyecto Datos (OKR´s)'!$K132),1),"")</f>
      </c>
      <c r="V132" s="201">
        <f>IF($C132,$I132-$U132,"")</f>
      </c>
      <c r="W132" s="201">
        <f>IF($C132,IF($J132="Completado",0,MAX(0,TODAY()-$H132)),"")</f>
      </c>
      <c r="X132" s="201">
        <f>IF($C132,IF(ISNUMBER($H132),$R132-$H132,0),"")</f>
      </c>
      <c r="Y132" s="201">
        <f>IF($C132,COUNTIFS($G$7:$G$200,$G132,$J$7:$J$200,"&lt;&gt;Completado",$J$7:$J$200,"&lt;&gt;"),"")</f>
      </c>
      <c r="Z132" s="201">
        <f>IF($C132,AND($I132=0,'Proyecto Datos (OKR´s)'!$K132&lt;=TODAY(),$J132&lt;&gt;"Completado"),"")</f>
      </c>
      <c r="AA132" s="201">
        <f>IF($C132,ROUND(100*(0.35*$AK132+0.3*$AL132+0.2*$AM132+0.15*MEDIAN(0,($Y132-4)/8,1)),0),"")</f>
      </c>
      <c r="AB132" s="202">
        <f>IF($C132,IF($J132="Completado","—",IF($AA132&gt;=70,"Crítica",IF($AA132&gt;=45,"Alta",IF($AA132&gt;=25,"Media","Baja")))),"")</f>
      </c>
      <c r="AC132" s="202">
        <f>IF($C132,IF(LEN(TRIM($AN132))=0,"—",TRIM($AN132)),"")</f>
      </c>
      <c r="AD132" s="201">
        <f>IF($C132,IF($N132=9999,9999,IF($J132="Completado",$N132,MAX($N132,'Historial de Sprints'!$C$7))),"")</f>
      </c>
      <c r="AE132" s="201">
        <f>IF($C132,IF($AD132=9999,"(Sin sprint)",$AD132),"")</f>
      </c>
      <c r="AF132" s="201">
        <f>IF($C132,AND($N132&lt;&gt;9999,$AD132&lt;&gt;$N132),FALSE)</f>
      </c>
      <c r="AG132" s="201">
        <f>IF($AF132,'Historial de Sprints'!$C$5+$N132*'Historial de Sprints'!$C$6-1,"")</f>
      </c>
      <c r="AH132" s="202">
        <f>IF($AF132,"No completada al cierre del Sprint "&amp;$N132&amp;" -&gt; reasignada al Sprint "&amp;$AD132,"")</f>
      </c>
      <c r="AI132" s="201">
        <f>IF($AF132,$N132*100000+ROW(),"")</f>
      </c>
      <c r="AJ132" s="201">
        <f>IF($C132,$AA132*1000000-MEDIAN(-9999,$K132,9999)*100+(300-ROW()),"")</f>
      </c>
      <c r="AK132" s="201">
        <f>IF($C132,IF($J132="Completado",0,IF($K132&lt;0,1,IF($K132&lt;=3,0.9,IF($K132&lt;=7,0.7,IF($K132&lt;=14,0.45,0.2))))),"")</f>
      </c>
      <c r="AL132" s="201">
        <f>IF($C132,IF($J132="Completado",0,MEDIAN(0,MAX(-$V132,$W132/30),1)),"")</f>
      </c>
      <c r="AM132" s="201">
        <f>IF($C132,IF($J132="Completado",0,IF($Z132,1,IF(AND($I132&lt;0.5,$K132&lt;=7),0.7,0.3))),"")</f>
      </c>
      <c r="AN132" s="202">
        <f>IF($C132,IF(OR($V132&lt;-0.2,$W132&gt;0),"ATRASO ","")&amp;IF($Z132,"BLOQUEO ","")&amp;IF($Y132&gt;8,"SOBRECARGA ","")&amp;IF($X132&gt;0,"DESVÍO-PLAN ",""),"")</f>
      </c>
    </row>
    <row r="133">
      <c r="A133" s="201">
        <f>ROW()</f>
      </c>
      <c r="B133" s="201">
        <f>ISTEXT('Proyecto Datos (OKR´s)'!$K133)</f>
      </c>
      <c r="C133" s="201">
        <f>AND(LEN('Proyecto Datos (OKR´s)'!$G133)&gt;0,NOT($B133),OR(ISNUMBER('Proyecto Datos (OKR´s)'!$F133),ISNUMBER('Proyecto Datos (OKR´s)'!$L133)))</f>
      </c>
      <c r="D133" s="202">
        <f>IF($C133,IFERROR(LOOKUP(2,1/((ISTEXT('Proyecto Datos (OKR´s)'!$K$7:$K133))*(LEN('Proyecto Datos (OKR´s)'!$G$7:$G133)&gt;0)),'Proyecto Datos (OKR´s)'!$G$7:$G133),""),"")</f>
      </c>
      <c r="E133" s="201">
        <f>IF($C133,'Proyecto Datos (OKR´s)'!$E133,"")</f>
      </c>
      <c r="F133" s="202">
        <f>IF($C133,'Proyecto Datos (OKR´s)'!$G133,"")</f>
      </c>
      <c r="G133" s="202">
        <f>IF($C133,IF('Proyecto Datos (OKR´s)'!$I133="","(Sin asignar)",'Proyecto Datos (OKR´s)'!$I133),"")</f>
      </c>
      <c r="H133" s="201">
        <f>IF($C133,IF(ISNUMBER('Proyecto Datos (OKR´s)'!$F133),'Proyecto Datos (OKR´s)'!$F133,'Proyecto Datos (OKR´s)'!$L133),"")</f>
      </c>
      <c r="I133" s="201">
        <f>IF($C133,'Proyecto Datos (OKR´s)'!$J133,"")</f>
      </c>
      <c r="J133" s="202">
        <f>IF($C133,IF($I133&gt;=1,"Completado",IF($H133&lt;TODAY(),"Vencido",IF(($H133-TODAY())&lt;='Entregas Próximas'!$M$3,"Próximo a vencer","En curso"))),"")</f>
      </c>
      <c r="K133" s="201">
        <f>IF($C133,$H133-TODAY(),"")</f>
      </c>
      <c r="L133" s="201">
        <f>IF($C133,$AD133*1000000+$H133+ROW()/100000,"")</f>
      </c>
      <c r="M133" s="201">
        <f>IF($C133,IF($AD133=9999,"(Sin sprint)",$AD133),"")</f>
      </c>
      <c r="N133" s="201">
        <f>IF($C133,IF('Proyecto Datos (OKR´s)'!$E133="",9999,'Proyecto Datos (OKR´s)'!$E133),"")</f>
      </c>
      <c r="O133" s="201">
        <f>IF($C133,"T"&amp;TEXT(ROW(),"000"),"")</f>
      </c>
      <c r="R133" s="201">
        <f>IF($C133,IF(ISNUMBER('Proyecto Datos (OKR´s)'!$L133),'Proyecto Datos (OKR´s)'!$L133,$H133),"")</f>
      </c>
      <c r="S133" s="201">
        <f>IF($C133,$R133-'Proyecto Datos (OKR´s)'!$K133+1,"")</f>
      </c>
      <c r="T133" s="201">
        <f>IF($C133,MAX(0,TODAY()-'Proyecto Datos (OKR´s)'!$K133),"")</f>
      </c>
      <c r="U133" s="201">
        <f>IF($C133,MEDIAN(0,(TODAY()-'Proyecto Datos (OKR´s)'!$K133)/MAX(1,$R133-'Proyecto Datos (OKR´s)'!$K133),1),"")</f>
      </c>
      <c r="V133" s="201">
        <f>IF($C133,$I133-$U133,"")</f>
      </c>
      <c r="W133" s="201">
        <f>IF($C133,IF($J133="Completado",0,MAX(0,TODAY()-$H133)),"")</f>
      </c>
      <c r="X133" s="201">
        <f>IF($C133,IF(ISNUMBER($H133),$R133-$H133,0),"")</f>
      </c>
      <c r="Y133" s="201">
        <f>IF($C133,COUNTIFS($G$7:$G$200,$G133,$J$7:$J$200,"&lt;&gt;Completado",$J$7:$J$200,"&lt;&gt;"),"")</f>
      </c>
      <c r="Z133" s="201">
        <f>IF($C133,AND($I133=0,'Proyecto Datos (OKR´s)'!$K133&lt;=TODAY(),$J133&lt;&gt;"Completado"),"")</f>
      </c>
      <c r="AA133" s="201">
        <f>IF($C133,ROUND(100*(0.35*$AK133+0.3*$AL133+0.2*$AM133+0.15*MEDIAN(0,($Y133-4)/8,1)),0),"")</f>
      </c>
      <c r="AB133" s="202">
        <f>IF($C133,IF($J133="Completado","—",IF($AA133&gt;=70,"Crítica",IF($AA133&gt;=45,"Alta",IF($AA133&gt;=25,"Media","Baja")))),"")</f>
      </c>
      <c r="AC133" s="202">
        <f>IF($C133,IF(LEN(TRIM($AN133))=0,"—",TRIM($AN133)),"")</f>
      </c>
      <c r="AD133" s="201">
        <f>IF($C133,IF($N133=9999,9999,IF($J133="Completado",$N133,MAX($N133,'Historial de Sprints'!$C$7))),"")</f>
      </c>
      <c r="AE133" s="201">
        <f>IF($C133,IF($AD133=9999,"(Sin sprint)",$AD133),"")</f>
      </c>
      <c r="AF133" s="201">
        <f>IF($C133,AND($N133&lt;&gt;9999,$AD133&lt;&gt;$N133),FALSE)</f>
      </c>
      <c r="AG133" s="201">
        <f>IF($AF133,'Historial de Sprints'!$C$5+$N133*'Historial de Sprints'!$C$6-1,"")</f>
      </c>
      <c r="AH133" s="202">
        <f>IF($AF133,"No completada al cierre del Sprint "&amp;$N133&amp;" -&gt; reasignada al Sprint "&amp;$AD133,"")</f>
      </c>
      <c r="AI133" s="201">
        <f>IF($AF133,$N133*100000+ROW(),"")</f>
      </c>
      <c r="AJ133" s="201">
        <f>IF($C133,$AA133*1000000-MEDIAN(-9999,$K133,9999)*100+(300-ROW()),"")</f>
      </c>
      <c r="AK133" s="201">
        <f>IF($C133,IF($J133="Completado",0,IF($K133&lt;0,1,IF($K133&lt;=3,0.9,IF($K133&lt;=7,0.7,IF($K133&lt;=14,0.45,0.2))))),"")</f>
      </c>
      <c r="AL133" s="201">
        <f>IF($C133,IF($J133="Completado",0,MEDIAN(0,MAX(-$V133,$W133/30),1)),"")</f>
      </c>
      <c r="AM133" s="201">
        <f>IF($C133,IF($J133="Completado",0,IF($Z133,1,IF(AND($I133&lt;0.5,$K133&lt;=7),0.7,0.3))),"")</f>
      </c>
      <c r="AN133" s="202">
        <f>IF($C133,IF(OR($V133&lt;-0.2,$W133&gt;0),"ATRASO ","")&amp;IF($Z133,"BLOQUEO ","")&amp;IF($Y133&gt;8,"SOBRECARGA ","")&amp;IF($X133&gt;0,"DESVÍO-PLAN ",""),"")</f>
      </c>
    </row>
    <row r="134">
      <c r="A134" s="201">
        <f>ROW()</f>
      </c>
      <c r="B134" s="201">
        <f>ISTEXT('Proyecto Datos (OKR´s)'!$K134)</f>
      </c>
      <c r="C134" s="201">
        <f>AND(LEN('Proyecto Datos (OKR´s)'!$G134)&gt;0,NOT($B134),OR(ISNUMBER('Proyecto Datos (OKR´s)'!$F134),ISNUMBER('Proyecto Datos (OKR´s)'!$L134)))</f>
      </c>
      <c r="D134" s="202">
        <f>IF($C134,IFERROR(LOOKUP(2,1/((ISTEXT('Proyecto Datos (OKR´s)'!$K$7:$K134))*(LEN('Proyecto Datos (OKR´s)'!$G$7:$G134)&gt;0)),'Proyecto Datos (OKR´s)'!$G$7:$G134),""),"")</f>
      </c>
      <c r="E134" s="201">
        <f>IF($C134,'Proyecto Datos (OKR´s)'!$E134,"")</f>
      </c>
      <c r="F134" s="202">
        <f>IF($C134,'Proyecto Datos (OKR´s)'!$G134,"")</f>
      </c>
      <c r="G134" s="202">
        <f>IF($C134,IF('Proyecto Datos (OKR´s)'!$I134="","(Sin asignar)",'Proyecto Datos (OKR´s)'!$I134),"")</f>
      </c>
      <c r="H134" s="201">
        <f>IF($C134,IF(ISNUMBER('Proyecto Datos (OKR´s)'!$F134),'Proyecto Datos (OKR´s)'!$F134,'Proyecto Datos (OKR´s)'!$L134),"")</f>
      </c>
      <c r="I134" s="201">
        <f>IF($C134,'Proyecto Datos (OKR´s)'!$J134,"")</f>
      </c>
      <c r="J134" s="202">
        <f>IF($C134,IF($I134&gt;=1,"Completado",IF($H134&lt;TODAY(),"Vencido",IF(($H134-TODAY())&lt;='Entregas Próximas'!$M$3,"Próximo a vencer","En curso"))),"")</f>
      </c>
      <c r="K134" s="201">
        <f>IF($C134,$H134-TODAY(),"")</f>
      </c>
      <c r="L134" s="201">
        <f>IF($C134,$AD134*1000000+$H134+ROW()/100000,"")</f>
      </c>
      <c r="M134" s="201">
        <f>IF($C134,IF($AD134=9999,"(Sin sprint)",$AD134),"")</f>
      </c>
      <c r="N134" s="201">
        <f>IF($C134,IF('Proyecto Datos (OKR´s)'!$E134="",9999,'Proyecto Datos (OKR´s)'!$E134),"")</f>
      </c>
      <c r="O134" s="201">
        <f>IF($C134,"T"&amp;TEXT(ROW(),"000"),"")</f>
      </c>
      <c r="R134" s="201">
        <f>IF($C134,IF(ISNUMBER('Proyecto Datos (OKR´s)'!$L134),'Proyecto Datos (OKR´s)'!$L134,$H134),"")</f>
      </c>
      <c r="S134" s="201">
        <f>IF($C134,$R134-'Proyecto Datos (OKR´s)'!$K134+1,"")</f>
      </c>
      <c r="T134" s="201">
        <f>IF($C134,MAX(0,TODAY()-'Proyecto Datos (OKR´s)'!$K134),"")</f>
      </c>
      <c r="U134" s="201">
        <f>IF($C134,MEDIAN(0,(TODAY()-'Proyecto Datos (OKR´s)'!$K134)/MAX(1,$R134-'Proyecto Datos (OKR´s)'!$K134),1),"")</f>
      </c>
      <c r="V134" s="201">
        <f>IF($C134,$I134-$U134,"")</f>
      </c>
      <c r="W134" s="201">
        <f>IF($C134,IF($J134="Completado",0,MAX(0,TODAY()-$H134)),"")</f>
      </c>
      <c r="X134" s="201">
        <f>IF($C134,IF(ISNUMBER($H134),$R134-$H134,0),"")</f>
      </c>
      <c r="Y134" s="201">
        <f>IF($C134,COUNTIFS($G$7:$G$200,$G134,$J$7:$J$200,"&lt;&gt;Completado",$J$7:$J$200,"&lt;&gt;"),"")</f>
      </c>
      <c r="Z134" s="201">
        <f>IF($C134,AND($I134=0,'Proyecto Datos (OKR´s)'!$K134&lt;=TODAY(),$J134&lt;&gt;"Completado"),"")</f>
      </c>
      <c r="AA134" s="201">
        <f>IF($C134,ROUND(100*(0.35*$AK134+0.3*$AL134+0.2*$AM134+0.15*MEDIAN(0,($Y134-4)/8,1)),0),"")</f>
      </c>
      <c r="AB134" s="202">
        <f>IF($C134,IF($J134="Completado","—",IF($AA134&gt;=70,"Crítica",IF($AA134&gt;=45,"Alta",IF($AA134&gt;=25,"Media","Baja")))),"")</f>
      </c>
      <c r="AC134" s="202">
        <f>IF($C134,IF(LEN(TRIM($AN134))=0,"—",TRIM($AN134)),"")</f>
      </c>
      <c r="AD134" s="201">
        <f>IF($C134,IF($N134=9999,9999,IF($J134="Completado",$N134,MAX($N134,'Historial de Sprints'!$C$7))),"")</f>
      </c>
      <c r="AE134" s="201">
        <f>IF($C134,IF($AD134=9999,"(Sin sprint)",$AD134),"")</f>
      </c>
      <c r="AF134" s="201">
        <f>IF($C134,AND($N134&lt;&gt;9999,$AD134&lt;&gt;$N134),FALSE)</f>
      </c>
      <c r="AG134" s="201">
        <f>IF($AF134,'Historial de Sprints'!$C$5+$N134*'Historial de Sprints'!$C$6-1,"")</f>
      </c>
      <c r="AH134" s="202">
        <f>IF($AF134,"No completada al cierre del Sprint "&amp;$N134&amp;" -&gt; reasignada al Sprint "&amp;$AD134,"")</f>
      </c>
      <c r="AI134" s="201">
        <f>IF($AF134,$N134*100000+ROW(),"")</f>
      </c>
      <c r="AJ134" s="201">
        <f>IF($C134,$AA134*1000000-MEDIAN(-9999,$K134,9999)*100+(300-ROW()),"")</f>
      </c>
      <c r="AK134" s="201">
        <f>IF($C134,IF($J134="Completado",0,IF($K134&lt;0,1,IF($K134&lt;=3,0.9,IF($K134&lt;=7,0.7,IF($K134&lt;=14,0.45,0.2))))),"")</f>
      </c>
      <c r="AL134" s="201">
        <f>IF($C134,IF($J134="Completado",0,MEDIAN(0,MAX(-$V134,$W134/30),1)),"")</f>
      </c>
      <c r="AM134" s="201">
        <f>IF($C134,IF($J134="Completado",0,IF($Z134,1,IF(AND($I134&lt;0.5,$K134&lt;=7),0.7,0.3))),"")</f>
      </c>
      <c r="AN134" s="202">
        <f>IF($C134,IF(OR($V134&lt;-0.2,$W134&gt;0),"ATRASO ","")&amp;IF($Z134,"BLOQUEO ","")&amp;IF($Y134&gt;8,"SOBRECARGA ","")&amp;IF($X134&gt;0,"DESVÍO-PLAN ",""),"")</f>
      </c>
    </row>
    <row r="135">
      <c r="A135" s="201">
        <f>ROW()</f>
      </c>
      <c r="B135" s="201">
        <f>ISTEXT('Proyecto Datos (OKR´s)'!$K135)</f>
      </c>
      <c r="C135" s="201">
        <f>AND(LEN('Proyecto Datos (OKR´s)'!$G135)&gt;0,NOT($B135),OR(ISNUMBER('Proyecto Datos (OKR´s)'!$F135),ISNUMBER('Proyecto Datos (OKR´s)'!$L135)))</f>
      </c>
      <c r="D135" s="202">
        <f>IF($C135,IFERROR(LOOKUP(2,1/((ISTEXT('Proyecto Datos (OKR´s)'!$K$7:$K135))*(LEN('Proyecto Datos (OKR´s)'!$G$7:$G135)&gt;0)),'Proyecto Datos (OKR´s)'!$G$7:$G135),""),"")</f>
      </c>
      <c r="E135" s="201">
        <f>IF($C135,'Proyecto Datos (OKR´s)'!$E135,"")</f>
      </c>
      <c r="F135" s="202">
        <f>IF($C135,'Proyecto Datos (OKR´s)'!$G135,"")</f>
      </c>
      <c r="G135" s="202">
        <f>IF($C135,IF('Proyecto Datos (OKR´s)'!$I135="","(Sin asignar)",'Proyecto Datos (OKR´s)'!$I135),"")</f>
      </c>
      <c r="H135" s="201">
        <f>IF($C135,IF(ISNUMBER('Proyecto Datos (OKR´s)'!$F135),'Proyecto Datos (OKR´s)'!$F135,'Proyecto Datos (OKR´s)'!$L135),"")</f>
      </c>
      <c r="I135" s="201">
        <f>IF($C135,'Proyecto Datos (OKR´s)'!$J135,"")</f>
      </c>
      <c r="J135" s="202">
        <f>IF($C135,IF($I135&gt;=1,"Completado",IF($H135&lt;TODAY(),"Vencido",IF(($H135-TODAY())&lt;='Entregas Próximas'!$M$3,"Próximo a vencer","En curso"))),"")</f>
      </c>
      <c r="K135" s="201">
        <f>IF($C135,$H135-TODAY(),"")</f>
      </c>
      <c r="L135" s="201">
        <f>IF($C135,$AD135*1000000+$H135+ROW()/100000,"")</f>
      </c>
      <c r="M135" s="201">
        <f>IF($C135,IF($AD135=9999,"(Sin sprint)",$AD135),"")</f>
      </c>
      <c r="N135" s="201">
        <f>IF($C135,IF('Proyecto Datos (OKR´s)'!$E135="",9999,'Proyecto Datos (OKR´s)'!$E135),"")</f>
      </c>
      <c r="O135" s="201">
        <f>IF($C135,"T"&amp;TEXT(ROW(),"000"),"")</f>
      </c>
      <c r="R135" s="201">
        <f>IF($C135,IF(ISNUMBER('Proyecto Datos (OKR´s)'!$L135),'Proyecto Datos (OKR´s)'!$L135,$H135),"")</f>
      </c>
      <c r="S135" s="201">
        <f>IF($C135,$R135-'Proyecto Datos (OKR´s)'!$K135+1,"")</f>
      </c>
      <c r="T135" s="201">
        <f>IF($C135,MAX(0,TODAY()-'Proyecto Datos (OKR´s)'!$K135),"")</f>
      </c>
      <c r="U135" s="201">
        <f>IF($C135,MEDIAN(0,(TODAY()-'Proyecto Datos (OKR´s)'!$K135)/MAX(1,$R135-'Proyecto Datos (OKR´s)'!$K135),1),"")</f>
      </c>
      <c r="V135" s="201">
        <f>IF($C135,$I135-$U135,"")</f>
      </c>
      <c r="W135" s="201">
        <f>IF($C135,IF($J135="Completado",0,MAX(0,TODAY()-$H135)),"")</f>
      </c>
      <c r="X135" s="201">
        <f>IF($C135,IF(ISNUMBER($H135),$R135-$H135,0),"")</f>
      </c>
      <c r="Y135" s="201">
        <f>IF($C135,COUNTIFS($G$7:$G$200,$G135,$J$7:$J$200,"&lt;&gt;Completado",$J$7:$J$200,"&lt;&gt;"),"")</f>
      </c>
      <c r="Z135" s="201">
        <f>IF($C135,AND($I135=0,'Proyecto Datos (OKR´s)'!$K135&lt;=TODAY(),$J135&lt;&gt;"Completado"),"")</f>
      </c>
      <c r="AA135" s="201">
        <f>IF($C135,ROUND(100*(0.35*$AK135+0.3*$AL135+0.2*$AM135+0.15*MEDIAN(0,($Y135-4)/8,1)),0),"")</f>
      </c>
      <c r="AB135" s="202">
        <f>IF($C135,IF($J135="Completado","—",IF($AA135&gt;=70,"Crítica",IF($AA135&gt;=45,"Alta",IF($AA135&gt;=25,"Media","Baja")))),"")</f>
      </c>
      <c r="AC135" s="202">
        <f>IF($C135,IF(LEN(TRIM($AN135))=0,"—",TRIM($AN135)),"")</f>
      </c>
      <c r="AD135" s="201">
        <f>IF($C135,IF($N135=9999,9999,IF($J135="Completado",$N135,MAX($N135,'Historial de Sprints'!$C$7))),"")</f>
      </c>
      <c r="AE135" s="201">
        <f>IF($C135,IF($AD135=9999,"(Sin sprint)",$AD135),"")</f>
      </c>
      <c r="AF135" s="201">
        <f>IF($C135,AND($N135&lt;&gt;9999,$AD135&lt;&gt;$N135),FALSE)</f>
      </c>
      <c r="AG135" s="201">
        <f>IF($AF135,'Historial de Sprints'!$C$5+$N135*'Historial de Sprints'!$C$6-1,"")</f>
      </c>
      <c r="AH135" s="202">
        <f>IF($AF135,"No completada al cierre del Sprint "&amp;$N135&amp;" -&gt; reasignada al Sprint "&amp;$AD135,"")</f>
      </c>
      <c r="AI135" s="201">
        <f>IF($AF135,$N135*100000+ROW(),"")</f>
      </c>
      <c r="AJ135" s="201">
        <f>IF($C135,$AA135*1000000-MEDIAN(-9999,$K135,9999)*100+(300-ROW()),"")</f>
      </c>
      <c r="AK135" s="201">
        <f>IF($C135,IF($J135="Completado",0,IF($K135&lt;0,1,IF($K135&lt;=3,0.9,IF($K135&lt;=7,0.7,IF($K135&lt;=14,0.45,0.2))))),"")</f>
      </c>
      <c r="AL135" s="201">
        <f>IF($C135,IF($J135="Completado",0,MEDIAN(0,MAX(-$V135,$W135/30),1)),"")</f>
      </c>
      <c r="AM135" s="201">
        <f>IF($C135,IF($J135="Completado",0,IF($Z135,1,IF(AND($I135&lt;0.5,$K135&lt;=7),0.7,0.3))),"")</f>
      </c>
      <c r="AN135" s="202">
        <f>IF($C135,IF(OR($V135&lt;-0.2,$W135&gt;0),"ATRASO ","")&amp;IF($Z135,"BLOQUEO ","")&amp;IF($Y135&gt;8,"SOBRECARGA ","")&amp;IF($X135&gt;0,"DESVÍO-PLAN ",""),"")</f>
      </c>
    </row>
    <row r="136">
      <c r="A136" s="201">
        <f>ROW()</f>
      </c>
      <c r="B136" s="201">
        <f>ISTEXT('Proyecto Datos (OKR´s)'!$K136)</f>
      </c>
      <c r="C136" s="201">
        <f>AND(LEN('Proyecto Datos (OKR´s)'!$G136)&gt;0,NOT($B136),OR(ISNUMBER('Proyecto Datos (OKR´s)'!$F136),ISNUMBER('Proyecto Datos (OKR´s)'!$L136)))</f>
      </c>
      <c r="D136" s="202">
        <f>IF($C136,IFERROR(LOOKUP(2,1/((ISTEXT('Proyecto Datos (OKR´s)'!$K$7:$K136))*(LEN('Proyecto Datos (OKR´s)'!$G$7:$G136)&gt;0)),'Proyecto Datos (OKR´s)'!$G$7:$G136),""),"")</f>
      </c>
      <c r="E136" s="201">
        <f>IF($C136,'Proyecto Datos (OKR´s)'!$E136,"")</f>
      </c>
      <c r="F136" s="202">
        <f>IF($C136,'Proyecto Datos (OKR´s)'!$G136,"")</f>
      </c>
      <c r="G136" s="202">
        <f>IF($C136,IF('Proyecto Datos (OKR´s)'!$I136="","(Sin asignar)",'Proyecto Datos (OKR´s)'!$I136),"")</f>
      </c>
      <c r="H136" s="201">
        <f>IF($C136,IF(ISNUMBER('Proyecto Datos (OKR´s)'!$F136),'Proyecto Datos (OKR´s)'!$F136,'Proyecto Datos (OKR´s)'!$L136),"")</f>
      </c>
      <c r="I136" s="201">
        <f>IF($C136,'Proyecto Datos (OKR´s)'!$J136,"")</f>
      </c>
      <c r="J136" s="202">
        <f>IF($C136,IF($I136&gt;=1,"Completado",IF($H136&lt;TODAY(),"Vencido",IF(($H136-TODAY())&lt;='Entregas Próximas'!$M$3,"Próximo a vencer","En curso"))),"")</f>
      </c>
      <c r="K136" s="201">
        <f>IF($C136,$H136-TODAY(),"")</f>
      </c>
      <c r="L136" s="201">
        <f>IF($C136,$AD136*1000000+$H136+ROW()/100000,"")</f>
      </c>
      <c r="M136" s="201">
        <f>IF($C136,IF($AD136=9999,"(Sin sprint)",$AD136),"")</f>
      </c>
      <c r="N136" s="201">
        <f>IF($C136,IF('Proyecto Datos (OKR´s)'!$E136="",9999,'Proyecto Datos (OKR´s)'!$E136),"")</f>
      </c>
      <c r="O136" s="201">
        <f>IF($C136,"T"&amp;TEXT(ROW(),"000"),"")</f>
      </c>
      <c r="R136" s="201">
        <f>IF($C136,IF(ISNUMBER('Proyecto Datos (OKR´s)'!$L136),'Proyecto Datos (OKR´s)'!$L136,$H136),"")</f>
      </c>
      <c r="S136" s="201">
        <f>IF($C136,$R136-'Proyecto Datos (OKR´s)'!$K136+1,"")</f>
      </c>
      <c r="T136" s="201">
        <f>IF($C136,MAX(0,TODAY()-'Proyecto Datos (OKR´s)'!$K136),"")</f>
      </c>
      <c r="U136" s="201">
        <f>IF($C136,MEDIAN(0,(TODAY()-'Proyecto Datos (OKR´s)'!$K136)/MAX(1,$R136-'Proyecto Datos (OKR´s)'!$K136),1),"")</f>
      </c>
      <c r="V136" s="201">
        <f>IF($C136,$I136-$U136,"")</f>
      </c>
      <c r="W136" s="201">
        <f>IF($C136,IF($J136="Completado",0,MAX(0,TODAY()-$H136)),"")</f>
      </c>
      <c r="X136" s="201">
        <f>IF($C136,IF(ISNUMBER($H136),$R136-$H136,0),"")</f>
      </c>
      <c r="Y136" s="201">
        <f>IF($C136,COUNTIFS($G$7:$G$200,$G136,$J$7:$J$200,"&lt;&gt;Completado",$J$7:$J$200,"&lt;&gt;"),"")</f>
      </c>
      <c r="Z136" s="201">
        <f>IF($C136,AND($I136=0,'Proyecto Datos (OKR´s)'!$K136&lt;=TODAY(),$J136&lt;&gt;"Completado"),"")</f>
      </c>
      <c r="AA136" s="201">
        <f>IF($C136,ROUND(100*(0.35*$AK136+0.3*$AL136+0.2*$AM136+0.15*MEDIAN(0,($Y136-4)/8,1)),0),"")</f>
      </c>
      <c r="AB136" s="202">
        <f>IF($C136,IF($J136="Completado","—",IF($AA136&gt;=70,"Crítica",IF($AA136&gt;=45,"Alta",IF($AA136&gt;=25,"Media","Baja")))),"")</f>
      </c>
      <c r="AC136" s="202">
        <f>IF($C136,IF(LEN(TRIM($AN136))=0,"—",TRIM($AN136)),"")</f>
      </c>
      <c r="AD136" s="201">
        <f>IF($C136,IF($N136=9999,9999,IF($J136="Completado",$N136,MAX($N136,'Historial de Sprints'!$C$7))),"")</f>
      </c>
      <c r="AE136" s="201">
        <f>IF($C136,IF($AD136=9999,"(Sin sprint)",$AD136),"")</f>
      </c>
      <c r="AF136" s="201">
        <f>IF($C136,AND($N136&lt;&gt;9999,$AD136&lt;&gt;$N136),FALSE)</f>
      </c>
      <c r="AG136" s="201">
        <f>IF($AF136,'Historial de Sprints'!$C$5+$N136*'Historial de Sprints'!$C$6-1,"")</f>
      </c>
      <c r="AH136" s="202">
        <f>IF($AF136,"No completada al cierre del Sprint "&amp;$N136&amp;" -&gt; reasignada al Sprint "&amp;$AD136,"")</f>
      </c>
      <c r="AI136" s="201">
        <f>IF($AF136,$N136*100000+ROW(),"")</f>
      </c>
      <c r="AJ136" s="201">
        <f>IF($C136,$AA136*1000000-MEDIAN(-9999,$K136,9999)*100+(300-ROW()),"")</f>
      </c>
      <c r="AK136" s="201">
        <f>IF($C136,IF($J136="Completado",0,IF($K136&lt;0,1,IF($K136&lt;=3,0.9,IF($K136&lt;=7,0.7,IF($K136&lt;=14,0.45,0.2))))),"")</f>
      </c>
      <c r="AL136" s="201">
        <f>IF($C136,IF($J136="Completado",0,MEDIAN(0,MAX(-$V136,$W136/30),1)),"")</f>
      </c>
      <c r="AM136" s="201">
        <f>IF($C136,IF($J136="Completado",0,IF($Z136,1,IF(AND($I136&lt;0.5,$K136&lt;=7),0.7,0.3))),"")</f>
      </c>
      <c r="AN136" s="202">
        <f>IF($C136,IF(OR($V136&lt;-0.2,$W136&gt;0),"ATRASO ","")&amp;IF($Z136,"BLOQUEO ","")&amp;IF($Y136&gt;8,"SOBRECARGA ","")&amp;IF($X136&gt;0,"DESVÍO-PLAN ",""),"")</f>
      </c>
    </row>
    <row r="137">
      <c r="A137" s="201">
        <f>ROW()</f>
      </c>
      <c r="B137" s="201">
        <f>ISTEXT('Proyecto Datos (OKR´s)'!$K137)</f>
      </c>
      <c r="C137" s="201">
        <f>AND(LEN('Proyecto Datos (OKR´s)'!$G137)&gt;0,NOT($B137),OR(ISNUMBER('Proyecto Datos (OKR´s)'!$F137),ISNUMBER('Proyecto Datos (OKR´s)'!$L137)))</f>
      </c>
      <c r="D137" s="202">
        <f>IF($C137,IFERROR(LOOKUP(2,1/((ISTEXT('Proyecto Datos (OKR´s)'!$K$7:$K137))*(LEN('Proyecto Datos (OKR´s)'!$G$7:$G137)&gt;0)),'Proyecto Datos (OKR´s)'!$G$7:$G137),""),"")</f>
      </c>
      <c r="E137" s="201">
        <f>IF($C137,'Proyecto Datos (OKR´s)'!$E137,"")</f>
      </c>
      <c r="F137" s="202">
        <f>IF($C137,'Proyecto Datos (OKR´s)'!$G137,"")</f>
      </c>
      <c r="G137" s="202">
        <f>IF($C137,IF('Proyecto Datos (OKR´s)'!$I137="","(Sin asignar)",'Proyecto Datos (OKR´s)'!$I137),"")</f>
      </c>
      <c r="H137" s="201">
        <f>IF($C137,IF(ISNUMBER('Proyecto Datos (OKR´s)'!$F137),'Proyecto Datos (OKR´s)'!$F137,'Proyecto Datos (OKR´s)'!$L137),"")</f>
      </c>
      <c r="I137" s="201">
        <f>IF($C137,'Proyecto Datos (OKR´s)'!$J137,"")</f>
      </c>
      <c r="J137" s="202">
        <f>IF($C137,IF($I137&gt;=1,"Completado",IF($H137&lt;TODAY(),"Vencido",IF(($H137-TODAY())&lt;='Entregas Próximas'!$M$3,"Próximo a vencer","En curso"))),"")</f>
      </c>
      <c r="K137" s="201">
        <f>IF($C137,$H137-TODAY(),"")</f>
      </c>
      <c r="L137" s="201">
        <f>IF($C137,$AD137*1000000+$H137+ROW()/100000,"")</f>
      </c>
      <c r="M137" s="201">
        <f>IF($C137,IF($AD137=9999,"(Sin sprint)",$AD137),"")</f>
      </c>
      <c r="N137" s="201">
        <f>IF($C137,IF('Proyecto Datos (OKR´s)'!$E137="",9999,'Proyecto Datos (OKR´s)'!$E137),"")</f>
      </c>
      <c r="O137" s="201">
        <f>IF($C137,"T"&amp;TEXT(ROW(),"000"),"")</f>
      </c>
      <c r="R137" s="201">
        <f>IF($C137,IF(ISNUMBER('Proyecto Datos (OKR´s)'!$L137),'Proyecto Datos (OKR´s)'!$L137,$H137),"")</f>
      </c>
      <c r="S137" s="201">
        <f>IF($C137,$R137-'Proyecto Datos (OKR´s)'!$K137+1,"")</f>
      </c>
      <c r="T137" s="201">
        <f>IF($C137,MAX(0,TODAY()-'Proyecto Datos (OKR´s)'!$K137),"")</f>
      </c>
      <c r="U137" s="201">
        <f>IF($C137,MEDIAN(0,(TODAY()-'Proyecto Datos (OKR´s)'!$K137)/MAX(1,$R137-'Proyecto Datos (OKR´s)'!$K137),1),"")</f>
      </c>
      <c r="V137" s="201">
        <f>IF($C137,$I137-$U137,"")</f>
      </c>
      <c r="W137" s="201">
        <f>IF($C137,IF($J137="Completado",0,MAX(0,TODAY()-$H137)),"")</f>
      </c>
      <c r="X137" s="201">
        <f>IF($C137,IF(ISNUMBER($H137),$R137-$H137,0),"")</f>
      </c>
      <c r="Y137" s="201">
        <f>IF($C137,COUNTIFS($G$7:$G$200,$G137,$J$7:$J$200,"&lt;&gt;Completado",$J$7:$J$200,"&lt;&gt;"),"")</f>
      </c>
      <c r="Z137" s="201">
        <f>IF($C137,AND($I137=0,'Proyecto Datos (OKR´s)'!$K137&lt;=TODAY(),$J137&lt;&gt;"Completado"),"")</f>
      </c>
      <c r="AA137" s="201">
        <f>IF($C137,ROUND(100*(0.35*$AK137+0.3*$AL137+0.2*$AM137+0.15*MEDIAN(0,($Y137-4)/8,1)),0),"")</f>
      </c>
      <c r="AB137" s="202">
        <f>IF($C137,IF($J137="Completado","—",IF($AA137&gt;=70,"Crítica",IF($AA137&gt;=45,"Alta",IF($AA137&gt;=25,"Media","Baja")))),"")</f>
      </c>
      <c r="AC137" s="202">
        <f>IF($C137,IF(LEN(TRIM($AN137))=0,"—",TRIM($AN137)),"")</f>
      </c>
      <c r="AD137" s="201">
        <f>IF($C137,IF($N137=9999,9999,IF($J137="Completado",$N137,MAX($N137,'Historial de Sprints'!$C$7))),"")</f>
      </c>
      <c r="AE137" s="201">
        <f>IF($C137,IF($AD137=9999,"(Sin sprint)",$AD137),"")</f>
      </c>
      <c r="AF137" s="201">
        <f>IF($C137,AND($N137&lt;&gt;9999,$AD137&lt;&gt;$N137),FALSE)</f>
      </c>
      <c r="AG137" s="201">
        <f>IF($AF137,'Historial de Sprints'!$C$5+$N137*'Historial de Sprints'!$C$6-1,"")</f>
      </c>
      <c r="AH137" s="202">
        <f>IF($AF137,"No completada al cierre del Sprint "&amp;$N137&amp;" -&gt; reasignada al Sprint "&amp;$AD137,"")</f>
      </c>
      <c r="AI137" s="201">
        <f>IF($AF137,$N137*100000+ROW(),"")</f>
      </c>
      <c r="AJ137" s="201">
        <f>IF($C137,$AA137*1000000-MEDIAN(-9999,$K137,9999)*100+(300-ROW()),"")</f>
      </c>
      <c r="AK137" s="201">
        <f>IF($C137,IF($J137="Completado",0,IF($K137&lt;0,1,IF($K137&lt;=3,0.9,IF($K137&lt;=7,0.7,IF($K137&lt;=14,0.45,0.2))))),"")</f>
      </c>
      <c r="AL137" s="201">
        <f>IF($C137,IF($J137="Completado",0,MEDIAN(0,MAX(-$V137,$W137/30),1)),"")</f>
      </c>
      <c r="AM137" s="201">
        <f>IF($C137,IF($J137="Completado",0,IF($Z137,1,IF(AND($I137&lt;0.5,$K137&lt;=7),0.7,0.3))),"")</f>
      </c>
      <c r="AN137" s="202">
        <f>IF($C137,IF(OR($V137&lt;-0.2,$W137&gt;0),"ATRASO ","")&amp;IF($Z137,"BLOQUEO ","")&amp;IF($Y137&gt;8,"SOBRECARGA ","")&amp;IF($X137&gt;0,"DESVÍO-PLAN ",""),"")</f>
      </c>
    </row>
    <row r="138">
      <c r="A138" s="201">
        <f>ROW()</f>
      </c>
      <c r="B138" s="201">
        <f>ISTEXT('Proyecto Datos (OKR´s)'!$K138)</f>
      </c>
      <c r="C138" s="201">
        <f>AND(LEN('Proyecto Datos (OKR´s)'!$G138)&gt;0,NOT($B138),OR(ISNUMBER('Proyecto Datos (OKR´s)'!$F138),ISNUMBER('Proyecto Datos (OKR´s)'!$L138)))</f>
      </c>
      <c r="D138" s="202">
        <f>IF($C138,IFERROR(LOOKUP(2,1/((ISTEXT('Proyecto Datos (OKR´s)'!$K$7:$K138))*(LEN('Proyecto Datos (OKR´s)'!$G$7:$G138)&gt;0)),'Proyecto Datos (OKR´s)'!$G$7:$G138),""),"")</f>
      </c>
      <c r="E138" s="201">
        <f>IF($C138,'Proyecto Datos (OKR´s)'!$E138,"")</f>
      </c>
      <c r="F138" s="202">
        <f>IF($C138,'Proyecto Datos (OKR´s)'!$G138,"")</f>
      </c>
      <c r="G138" s="202">
        <f>IF($C138,IF('Proyecto Datos (OKR´s)'!$I138="","(Sin asignar)",'Proyecto Datos (OKR´s)'!$I138),"")</f>
      </c>
      <c r="H138" s="201">
        <f>IF($C138,IF(ISNUMBER('Proyecto Datos (OKR´s)'!$F138),'Proyecto Datos (OKR´s)'!$F138,'Proyecto Datos (OKR´s)'!$L138),"")</f>
      </c>
      <c r="I138" s="201">
        <f>IF($C138,'Proyecto Datos (OKR´s)'!$J138,"")</f>
      </c>
      <c r="J138" s="202">
        <f>IF($C138,IF($I138&gt;=1,"Completado",IF($H138&lt;TODAY(),"Vencido",IF(($H138-TODAY())&lt;='Entregas Próximas'!$M$3,"Próximo a vencer","En curso"))),"")</f>
      </c>
      <c r="K138" s="201">
        <f>IF($C138,$H138-TODAY(),"")</f>
      </c>
      <c r="L138" s="201">
        <f>IF($C138,$AD138*1000000+$H138+ROW()/100000,"")</f>
      </c>
      <c r="M138" s="201">
        <f>IF($C138,IF($AD138=9999,"(Sin sprint)",$AD138),"")</f>
      </c>
      <c r="N138" s="201">
        <f>IF($C138,IF('Proyecto Datos (OKR´s)'!$E138="",9999,'Proyecto Datos (OKR´s)'!$E138),"")</f>
      </c>
      <c r="O138" s="201">
        <f>IF($C138,"T"&amp;TEXT(ROW(),"000"),"")</f>
      </c>
      <c r="R138" s="201">
        <f>IF($C138,IF(ISNUMBER('Proyecto Datos (OKR´s)'!$L138),'Proyecto Datos (OKR´s)'!$L138,$H138),"")</f>
      </c>
      <c r="S138" s="201">
        <f>IF($C138,$R138-'Proyecto Datos (OKR´s)'!$K138+1,"")</f>
      </c>
      <c r="T138" s="201">
        <f>IF($C138,MAX(0,TODAY()-'Proyecto Datos (OKR´s)'!$K138),"")</f>
      </c>
      <c r="U138" s="201">
        <f>IF($C138,MEDIAN(0,(TODAY()-'Proyecto Datos (OKR´s)'!$K138)/MAX(1,$R138-'Proyecto Datos (OKR´s)'!$K138),1),"")</f>
      </c>
      <c r="V138" s="201">
        <f>IF($C138,$I138-$U138,"")</f>
      </c>
      <c r="W138" s="201">
        <f>IF($C138,IF($J138="Completado",0,MAX(0,TODAY()-$H138)),"")</f>
      </c>
      <c r="X138" s="201">
        <f>IF($C138,IF(ISNUMBER($H138),$R138-$H138,0),"")</f>
      </c>
      <c r="Y138" s="201">
        <f>IF($C138,COUNTIFS($G$7:$G$200,$G138,$J$7:$J$200,"&lt;&gt;Completado",$J$7:$J$200,"&lt;&gt;"),"")</f>
      </c>
      <c r="Z138" s="201">
        <f>IF($C138,AND($I138=0,'Proyecto Datos (OKR´s)'!$K138&lt;=TODAY(),$J138&lt;&gt;"Completado"),"")</f>
      </c>
      <c r="AA138" s="201">
        <f>IF($C138,ROUND(100*(0.35*$AK138+0.3*$AL138+0.2*$AM138+0.15*MEDIAN(0,($Y138-4)/8,1)),0),"")</f>
      </c>
      <c r="AB138" s="202">
        <f>IF($C138,IF($J138="Completado","—",IF($AA138&gt;=70,"Crítica",IF($AA138&gt;=45,"Alta",IF($AA138&gt;=25,"Media","Baja")))),"")</f>
      </c>
      <c r="AC138" s="202">
        <f>IF($C138,IF(LEN(TRIM($AN138))=0,"—",TRIM($AN138)),"")</f>
      </c>
      <c r="AD138" s="201">
        <f>IF($C138,IF($N138=9999,9999,IF($J138="Completado",$N138,MAX($N138,'Historial de Sprints'!$C$7))),"")</f>
      </c>
      <c r="AE138" s="201">
        <f>IF($C138,IF($AD138=9999,"(Sin sprint)",$AD138),"")</f>
      </c>
      <c r="AF138" s="201">
        <f>IF($C138,AND($N138&lt;&gt;9999,$AD138&lt;&gt;$N138),FALSE)</f>
      </c>
      <c r="AG138" s="201">
        <f>IF($AF138,'Historial de Sprints'!$C$5+$N138*'Historial de Sprints'!$C$6-1,"")</f>
      </c>
      <c r="AH138" s="202">
        <f>IF($AF138,"No completada al cierre del Sprint "&amp;$N138&amp;" -&gt; reasignada al Sprint "&amp;$AD138,"")</f>
      </c>
      <c r="AI138" s="201">
        <f>IF($AF138,$N138*100000+ROW(),"")</f>
      </c>
      <c r="AJ138" s="201">
        <f>IF($C138,$AA138*1000000-MEDIAN(-9999,$K138,9999)*100+(300-ROW()),"")</f>
      </c>
      <c r="AK138" s="201">
        <f>IF($C138,IF($J138="Completado",0,IF($K138&lt;0,1,IF($K138&lt;=3,0.9,IF($K138&lt;=7,0.7,IF($K138&lt;=14,0.45,0.2))))),"")</f>
      </c>
      <c r="AL138" s="201">
        <f>IF($C138,IF($J138="Completado",0,MEDIAN(0,MAX(-$V138,$W138/30),1)),"")</f>
      </c>
      <c r="AM138" s="201">
        <f>IF($C138,IF($J138="Completado",0,IF($Z138,1,IF(AND($I138&lt;0.5,$K138&lt;=7),0.7,0.3))),"")</f>
      </c>
      <c r="AN138" s="202">
        <f>IF($C138,IF(OR($V138&lt;-0.2,$W138&gt;0),"ATRASO ","")&amp;IF($Z138,"BLOQUEO ","")&amp;IF($Y138&gt;8,"SOBRECARGA ","")&amp;IF($X138&gt;0,"DESVÍO-PLAN ",""),"")</f>
      </c>
    </row>
    <row r="139">
      <c r="A139" s="201">
        <f>ROW()</f>
      </c>
      <c r="B139" s="201">
        <f>ISTEXT('Proyecto Datos (OKR´s)'!$K139)</f>
      </c>
      <c r="C139" s="201">
        <f>AND(LEN('Proyecto Datos (OKR´s)'!$G139)&gt;0,NOT($B139),OR(ISNUMBER('Proyecto Datos (OKR´s)'!$F139),ISNUMBER('Proyecto Datos (OKR´s)'!$L139)))</f>
      </c>
      <c r="D139" s="202">
        <f>IF($C139,IFERROR(LOOKUP(2,1/((ISTEXT('Proyecto Datos (OKR´s)'!$K$7:$K139))*(LEN('Proyecto Datos (OKR´s)'!$G$7:$G139)&gt;0)),'Proyecto Datos (OKR´s)'!$G$7:$G139),""),"")</f>
      </c>
      <c r="E139" s="201">
        <f>IF($C139,'Proyecto Datos (OKR´s)'!$E139,"")</f>
      </c>
      <c r="F139" s="202">
        <f>IF($C139,'Proyecto Datos (OKR´s)'!$G139,"")</f>
      </c>
      <c r="G139" s="202">
        <f>IF($C139,IF('Proyecto Datos (OKR´s)'!$I139="","(Sin asignar)",'Proyecto Datos (OKR´s)'!$I139),"")</f>
      </c>
      <c r="H139" s="201">
        <f>IF($C139,IF(ISNUMBER('Proyecto Datos (OKR´s)'!$F139),'Proyecto Datos (OKR´s)'!$F139,'Proyecto Datos (OKR´s)'!$L139),"")</f>
      </c>
      <c r="I139" s="201">
        <f>IF($C139,'Proyecto Datos (OKR´s)'!$J139,"")</f>
      </c>
      <c r="J139" s="202">
        <f>IF($C139,IF($I139&gt;=1,"Completado",IF($H139&lt;TODAY(),"Vencido",IF(($H139-TODAY())&lt;='Entregas Próximas'!$M$3,"Próximo a vencer","En curso"))),"")</f>
      </c>
      <c r="K139" s="201">
        <f>IF($C139,$H139-TODAY(),"")</f>
      </c>
      <c r="L139" s="201">
        <f>IF($C139,$AD139*1000000+$H139+ROW()/100000,"")</f>
      </c>
      <c r="M139" s="201">
        <f>IF($C139,IF($AD139=9999,"(Sin sprint)",$AD139),"")</f>
      </c>
      <c r="N139" s="201">
        <f>IF($C139,IF('Proyecto Datos (OKR´s)'!$E139="",9999,'Proyecto Datos (OKR´s)'!$E139),"")</f>
      </c>
      <c r="O139" s="201">
        <f>IF($C139,"T"&amp;TEXT(ROW(),"000"),"")</f>
      </c>
      <c r="R139" s="201">
        <f>IF($C139,IF(ISNUMBER('Proyecto Datos (OKR´s)'!$L139),'Proyecto Datos (OKR´s)'!$L139,$H139),"")</f>
      </c>
      <c r="S139" s="201">
        <f>IF($C139,$R139-'Proyecto Datos (OKR´s)'!$K139+1,"")</f>
      </c>
      <c r="T139" s="201">
        <f>IF($C139,MAX(0,TODAY()-'Proyecto Datos (OKR´s)'!$K139),"")</f>
      </c>
      <c r="U139" s="201">
        <f>IF($C139,MEDIAN(0,(TODAY()-'Proyecto Datos (OKR´s)'!$K139)/MAX(1,$R139-'Proyecto Datos (OKR´s)'!$K139),1),"")</f>
      </c>
      <c r="V139" s="201">
        <f>IF($C139,$I139-$U139,"")</f>
      </c>
      <c r="W139" s="201">
        <f>IF($C139,IF($J139="Completado",0,MAX(0,TODAY()-$H139)),"")</f>
      </c>
      <c r="X139" s="201">
        <f>IF($C139,IF(ISNUMBER($H139),$R139-$H139,0),"")</f>
      </c>
      <c r="Y139" s="201">
        <f>IF($C139,COUNTIFS($G$7:$G$200,$G139,$J$7:$J$200,"&lt;&gt;Completado",$J$7:$J$200,"&lt;&gt;"),"")</f>
      </c>
      <c r="Z139" s="201">
        <f>IF($C139,AND($I139=0,'Proyecto Datos (OKR´s)'!$K139&lt;=TODAY(),$J139&lt;&gt;"Completado"),"")</f>
      </c>
      <c r="AA139" s="201">
        <f>IF($C139,ROUND(100*(0.35*$AK139+0.3*$AL139+0.2*$AM139+0.15*MEDIAN(0,($Y139-4)/8,1)),0),"")</f>
      </c>
      <c r="AB139" s="202">
        <f>IF($C139,IF($J139="Completado","—",IF($AA139&gt;=70,"Crítica",IF($AA139&gt;=45,"Alta",IF($AA139&gt;=25,"Media","Baja")))),"")</f>
      </c>
      <c r="AC139" s="202">
        <f>IF($C139,IF(LEN(TRIM($AN139))=0,"—",TRIM($AN139)),"")</f>
      </c>
      <c r="AD139" s="201">
        <f>IF($C139,IF($N139=9999,9999,IF($J139="Completado",$N139,MAX($N139,'Historial de Sprints'!$C$7))),"")</f>
      </c>
      <c r="AE139" s="201">
        <f>IF($C139,IF($AD139=9999,"(Sin sprint)",$AD139),"")</f>
      </c>
      <c r="AF139" s="201">
        <f>IF($C139,AND($N139&lt;&gt;9999,$AD139&lt;&gt;$N139),FALSE)</f>
      </c>
      <c r="AG139" s="201">
        <f>IF($AF139,'Historial de Sprints'!$C$5+$N139*'Historial de Sprints'!$C$6-1,"")</f>
      </c>
      <c r="AH139" s="202">
        <f>IF($AF139,"No completada al cierre del Sprint "&amp;$N139&amp;" -&gt; reasignada al Sprint "&amp;$AD139,"")</f>
      </c>
      <c r="AI139" s="201">
        <f>IF($AF139,$N139*100000+ROW(),"")</f>
      </c>
      <c r="AJ139" s="201">
        <f>IF($C139,$AA139*1000000-MEDIAN(-9999,$K139,9999)*100+(300-ROW()),"")</f>
      </c>
      <c r="AK139" s="201">
        <f>IF($C139,IF($J139="Completado",0,IF($K139&lt;0,1,IF($K139&lt;=3,0.9,IF($K139&lt;=7,0.7,IF($K139&lt;=14,0.45,0.2))))),"")</f>
      </c>
      <c r="AL139" s="201">
        <f>IF($C139,IF($J139="Completado",0,MEDIAN(0,MAX(-$V139,$W139/30),1)),"")</f>
      </c>
      <c r="AM139" s="201">
        <f>IF($C139,IF($J139="Completado",0,IF($Z139,1,IF(AND($I139&lt;0.5,$K139&lt;=7),0.7,0.3))),"")</f>
      </c>
      <c r="AN139" s="202">
        <f>IF($C139,IF(OR($V139&lt;-0.2,$W139&gt;0),"ATRASO ","")&amp;IF($Z139,"BLOQUEO ","")&amp;IF($Y139&gt;8,"SOBRECARGA ","")&amp;IF($X139&gt;0,"DESVÍO-PLAN ",""),"")</f>
      </c>
    </row>
    <row r="140">
      <c r="A140" s="201">
        <f>ROW()</f>
      </c>
      <c r="B140" s="201">
        <f>ISTEXT('Proyecto Datos (OKR´s)'!$K140)</f>
      </c>
      <c r="C140" s="201">
        <f>AND(LEN('Proyecto Datos (OKR´s)'!$G140)&gt;0,NOT($B140),OR(ISNUMBER('Proyecto Datos (OKR´s)'!$F140),ISNUMBER('Proyecto Datos (OKR´s)'!$L140)))</f>
      </c>
      <c r="D140" s="202">
        <f>IF($C140,IFERROR(LOOKUP(2,1/((ISTEXT('Proyecto Datos (OKR´s)'!$K$7:$K140))*(LEN('Proyecto Datos (OKR´s)'!$G$7:$G140)&gt;0)),'Proyecto Datos (OKR´s)'!$G$7:$G140),""),"")</f>
      </c>
      <c r="E140" s="201">
        <f>IF($C140,'Proyecto Datos (OKR´s)'!$E140,"")</f>
      </c>
      <c r="F140" s="202">
        <f>IF($C140,'Proyecto Datos (OKR´s)'!$G140,"")</f>
      </c>
      <c r="G140" s="202">
        <f>IF($C140,IF('Proyecto Datos (OKR´s)'!$I140="","(Sin asignar)",'Proyecto Datos (OKR´s)'!$I140),"")</f>
      </c>
      <c r="H140" s="201">
        <f>IF($C140,IF(ISNUMBER('Proyecto Datos (OKR´s)'!$F140),'Proyecto Datos (OKR´s)'!$F140,'Proyecto Datos (OKR´s)'!$L140),"")</f>
      </c>
      <c r="I140" s="201">
        <f>IF($C140,'Proyecto Datos (OKR´s)'!$J140,"")</f>
      </c>
      <c r="J140" s="202">
        <f>IF($C140,IF($I140&gt;=1,"Completado",IF($H140&lt;TODAY(),"Vencido",IF(($H140-TODAY())&lt;='Entregas Próximas'!$M$3,"Próximo a vencer","En curso"))),"")</f>
      </c>
      <c r="K140" s="201">
        <f>IF($C140,$H140-TODAY(),"")</f>
      </c>
      <c r="L140" s="201">
        <f>IF($C140,$AD140*1000000+$H140+ROW()/100000,"")</f>
      </c>
      <c r="M140" s="201">
        <f>IF($C140,IF($AD140=9999,"(Sin sprint)",$AD140),"")</f>
      </c>
      <c r="N140" s="201">
        <f>IF($C140,IF('Proyecto Datos (OKR´s)'!$E140="",9999,'Proyecto Datos (OKR´s)'!$E140),"")</f>
      </c>
      <c r="O140" s="201">
        <f>IF($C140,"T"&amp;TEXT(ROW(),"000"),"")</f>
      </c>
      <c r="R140" s="201">
        <f>IF($C140,IF(ISNUMBER('Proyecto Datos (OKR´s)'!$L140),'Proyecto Datos (OKR´s)'!$L140,$H140),"")</f>
      </c>
      <c r="S140" s="201">
        <f>IF($C140,$R140-'Proyecto Datos (OKR´s)'!$K140+1,"")</f>
      </c>
      <c r="T140" s="201">
        <f>IF($C140,MAX(0,TODAY()-'Proyecto Datos (OKR´s)'!$K140),"")</f>
      </c>
      <c r="U140" s="201">
        <f>IF($C140,MEDIAN(0,(TODAY()-'Proyecto Datos (OKR´s)'!$K140)/MAX(1,$R140-'Proyecto Datos (OKR´s)'!$K140),1),"")</f>
      </c>
      <c r="V140" s="201">
        <f>IF($C140,$I140-$U140,"")</f>
      </c>
      <c r="W140" s="201">
        <f>IF($C140,IF($J140="Completado",0,MAX(0,TODAY()-$H140)),"")</f>
      </c>
      <c r="X140" s="201">
        <f>IF($C140,IF(ISNUMBER($H140),$R140-$H140,0),"")</f>
      </c>
      <c r="Y140" s="201">
        <f>IF($C140,COUNTIFS($G$7:$G$200,$G140,$J$7:$J$200,"&lt;&gt;Completado",$J$7:$J$200,"&lt;&gt;"),"")</f>
      </c>
      <c r="Z140" s="201">
        <f>IF($C140,AND($I140=0,'Proyecto Datos (OKR´s)'!$K140&lt;=TODAY(),$J140&lt;&gt;"Completado"),"")</f>
      </c>
      <c r="AA140" s="201">
        <f>IF($C140,ROUND(100*(0.35*$AK140+0.3*$AL140+0.2*$AM140+0.15*MEDIAN(0,($Y140-4)/8,1)),0),"")</f>
      </c>
      <c r="AB140" s="202">
        <f>IF($C140,IF($J140="Completado","—",IF($AA140&gt;=70,"Crítica",IF($AA140&gt;=45,"Alta",IF($AA140&gt;=25,"Media","Baja")))),"")</f>
      </c>
      <c r="AC140" s="202">
        <f>IF($C140,IF(LEN(TRIM($AN140))=0,"—",TRIM($AN140)),"")</f>
      </c>
      <c r="AD140" s="201">
        <f>IF($C140,IF($N140=9999,9999,IF($J140="Completado",$N140,MAX($N140,'Historial de Sprints'!$C$7))),"")</f>
      </c>
      <c r="AE140" s="201">
        <f>IF($C140,IF($AD140=9999,"(Sin sprint)",$AD140),"")</f>
      </c>
      <c r="AF140" s="201">
        <f>IF($C140,AND($N140&lt;&gt;9999,$AD140&lt;&gt;$N140),FALSE)</f>
      </c>
      <c r="AG140" s="201">
        <f>IF($AF140,'Historial de Sprints'!$C$5+$N140*'Historial de Sprints'!$C$6-1,"")</f>
      </c>
      <c r="AH140" s="202">
        <f>IF($AF140,"No completada al cierre del Sprint "&amp;$N140&amp;" -&gt; reasignada al Sprint "&amp;$AD140,"")</f>
      </c>
      <c r="AI140" s="201">
        <f>IF($AF140,$N140*100000+ROW(),"")</f>
      </c>
      <c r="AJ140" s="201">
        <f>IF($C140,$AA140*1000000-MEDIAN(-9999,$K140,9999)*100+(300-ROW()),"")</f>
      </c>
      <c r="AK140" s="201">
        <f>IF($C140,IF($J140="Completado",0,IF($K140&lt;0,1,IF($K140&lt;=3,0.9,IF($K140&lt;=7,0.7,IF($K140&lt;=14,0.45,0.2))))),"")</f>
      </c>
      <c r="AL140" s="201">
        <f>IF($C140,IF($J140="Completado",0,MEDIAN(0,MAX(-$V140,$W140/30),1)),"")</f>
      </c>
      <c r="AM140" s="201">
        <f>IF($C140,IF($J140="Completado",0,IF($Z140,1,IF(AND($I140&lt;0.5,$K140&lt;=7),0.7,0.3))),"")</f>
      </c>
      <c r="AN140" s="202">
        <f>IF($C140,IF(OR($V140&lt;-0.2,$W140&gt;0),"ATRASO ","")&amp;IF($Z140,"BLOQUEO ","")&amp;IF($Y140&gt;8,"SOBRECARGA ","")&amp;IF($X140&gt;0,"DESVÍO-PLAN ",""),"")</f>
      </c>
    </row>
    <row r="141">
      <c r="A141" s="201">
        <f>ROW()</f>
      </c>
      <c r="B141" s="201">
        <f>ISTEXT('Proyecto Datos (OKR´s)'!$K141)</f>
      </c>
      <c r="C141" s="201">
        <f>AND(LEN('Proyecto Datos (OKR´s)'!$G141)&gt;0,NOT($B141),OR(ISNUMBER('Proyecto Datos (OKR´s)'!$F141),ISNUMBER('Proyecto Datos (OKR´s)'!$L141)))</f>
      </c>
      <c r="D141" s="202">
        <f>IF($C141,IFERROR(LOOKUP(2,1/((ISTEXT('Proyecto Datos (OKR´s)'!$K$7:$K141))*(LEN('Proyecto Datos (OKR´s)'!$G$7:$G141)&gt;0)),'Proyecto Datos (OKR´s)'!$G$7:$G141),""),"")</f>
      </c>
      <c r="E141" s="201">
        <f>IF($C141,'Proyecto Datos (OKR´s)'!$E141,"")</f>
      </c>
      <c r="F141" s="202">
        <f>IF($C141,'Proyecto Datos (OKR´s)'!$G141,"")</f>
      </c>
      <c r="G141" s="202">
        <f>IF($C141,IF('Proyecto Datos (OKR´s)'!$I141="","(Sin asignar)",'Proyecto Datos (OKR´s)'!$I141),"")</f>
      </c>
      <c r="H141" s="201">
        <f>IF($C141,IF(ISNUMBER('Proyecto Datos (OKR´s)'!$F141),'Proyecto Datos (OKR´s)'!$F141,'Proyecto Datos (OKR´s)'!$L141),"")</f>
      </c>
      <c r="I141" s="201">
        <f>IF($C141,'Proyecto Datos (OKR´s)'!$J141,"")</f>
      </c>
      <c r="J141" s="202">
        <f>IF($C141,IF($I141&gt;=1,"Completado",IF($H141&lt;TODAY(),"Vencido",IF(($H141-TODAY())&lt;='Entregas Próximas'!$M$3,"Próximo a vencer","En curso"))),"")</f>
      </c>
      <c r="K141" s="201">
        <f>IF($C141,$H141-TODAY(),"")</f>
      </c>
      <c r="L141" s="201">
        <f>IF($C141,$AD141*1000000+$H141+ROW()/100000,"")</f>
      </c>
      <c r="M141" s="201">
        <f>IF($C141,IF($AD141=9999,"(Sin sprint)",$AD141),"")</f>
      </c>
      <c r="N141" s="201">
        <f>IF($C141,IF('Proyecto Datos (OKR´s)'!$E141="",9999,'Proyecto Datos (OKR´s)'!$E141),"")</f>
      </c>
      <c r="O141" s="201">
        <f>IF($C141,"T"&amp;TEXT(ROW(),"000"),"")</f>
      </c>
      <c r="R141" s="201">
        <f>IF($C141,IF(ISNUMBER('Proyecto Datos (OKR´s)'!$L141),'Proyecto Datos (OKR´s)'!$L141,$H141),"")</f>
      </c>
      <c r="S141" s="201">
        <f>IF($C141,$R141-'Proyecto Datos (OKR´s)'!$K141+1,"")</f>
      </c>
      <c r="T141" s="201">
        <f>IF($C141,MAX(0,TODAY()-'Proyecto Datos (OKR´s)'!$K141),"")</f>
      </c>
      <c r="U141" s="201">
        <f>IF($C141,MEDIAN(0,(TODAY()-'Proyecto Datos (OKR´s)'!$K141)/MAX(1,$R141-'Proyecto Datos (OKR´s)'!$K141),1),"")</f>
      </c>
      <c r="V141" s="201">
        <f>IF($C141,$I141-$U141,"")</f>
      </c>
      <c r="W141" s="201">
        <f>IF($C141,IF($J141="Completado",0,MAX(0,TODAY()-$H141)),"")</f>
      </c>
      <c r="X141" s="201">
        <f>IF($C141,IF(ISNUMBER($H141),$R141-$H141,0),"")</f>
      </c>
      <c r="Y141" s="201">
        <f>IF($C141,COUNTIFS($G$7:$G$200,$G141,$J$7:$J$200,"&lt;&gt;Completado",$J$7:$J$200,"&lt;&gt;"),"")</f>
      </c>
      <c r="Z141" s="201">
        <f>IF($C141,AND($I141=0,'Proyecto Datos (OKR´s)'!$K141&lt;=TODAY(),$J141&lt;&gt;"Completado"),"")</f>
      </c>
      <c r="AA141" s="201">
        <f>IF($C141,ROUND(100*(0.35*$AK141+0.3*$AL141+0.2*$AM141+0.15*MEDIAN(0,($Y141-4)/8,1)),0),"")</f>
      </c>
      <c r="AB141" s="202">
        <f>IF($C141,IF($J141="Completado","—",IF($AA141&gt;=70,"Crítica",IF($AA141&gt;=45,"Alta",IF($AA141&gt;=25,"Media","Baja")))),"")</f>
      </c>
      <c r="AC141" s="202">
        <f>IF($C141,IF(LEN(TRIM($AN141))=0,"—",TRIM($AN141)),"")</f>
      </c>
      <c r="AD141" s="201">
        <f>IF($C141,IF($N141=9999,9999,IF($J141="Completado",$N141,MAX($N141,'Historial de Sprints'!$C$7))),"")</f>
      </c>
      <c r="AE141" s="201">
        <f>IF($C141,IF($AD141=9999,"(Sin sprint)",$AD141),"")</f>
      </c>
      <c r="AF141" s="201">
        <f>IF($C141,AND($N141&lt;&gt;9999,$AD141&lt;&gt;$N141),FALSE)</f>
      </c>
      <c r="AG141" s="201">
        <f>IF($AF141,'Historial de Sprints'!$C$5+$N141*'Historial de Sprints'!$C$6-1,"")</f>
      </c>
      <c r="AH141" s="202">
        <f>IF($AF141,"No completada al cierre del Sprint "&amp;$N141&amp;" -&gt; reasignada al Sprint "&amp;$AD141,"")</f>
      </c>
      <c r="AI141" s="201">
        <f>IF($AF141,$N141*100000+ROW(),"")</f>
      </c>
      <c r="AJ141" s="201">
        <f>IF($C141,$AA141*1000000-MEDIAN(-9999,$K141,9999)*100+(300-ROW()),"")</f>
      </c>
      <c r="AK141" s="201">
        <f>IF($C141,IF($J141="Completado",0,IF($K141&lt;0,1,IF($K141&lt;=3,0.9,IF($K141&lt;=7,0.7,IF($K141&lt;=14,0.45,0.2))))),"")</f>
      </c>
      <c r="AL141" s="201">
        <f>IF($C141,IF($J141="Completado",0,MEDIAN(0,MAX(-$V141,$W141/30),1)),"")</f>
      </c>
      <c r="AM141" s="201">
        <f>IF($C141,IF($J141="Completado",0,IF($Z141,1,IF(AND($I141&lt;0.5,$K141&lt;=7),0.7,0.3))),"")</f>
      </c>
      <c r="AN141" s="202">
        <f>IF($C141,IF(OR($V141&lt;-0.2,$W141&gt;0),"ATRASO ","")&amp;IF($Z141,"BLOQUEO ","")&amp;IF($Y141&gt;8,"SOBRECARGA ","")&amp;IF($X141&gt;0,"DESVÍO-PLAN ",""),"")</f>
      </c>
    </row>
    <row r="142">
      <c r="A142" s="201">
        <f>ROW()</f>
      </c>
      <c r="B142" s="201">
        <f>ISTEXT('Proyecto Datos (OKR´s)'!$K142)</f>
      </c>
      <c r="C142" s="201">
        <f>AND(LEN('Proyecto Datos (OKR´s)'!$G142)&gt;0,NOT($B142),OR(ISNUMBER('Proyecto Datos (OKR´s)'!$F142),ISNUMBER('Proyecto Datos (OKR´s)'!$L142)))</f>
      </c>
      <c r="D142" s="202">
        <f>IF($C142,IFERROR(LOOKUP(2,1/((ISTEXT('Proyecto Datos (OKR´s)'!$K$7:$K142))*(LEN('Proyecto Datos (OKR´s)'!$G$7:$G142)&gt;0)),'Proyecto Datos (OKR´s)'!$G$7:$G142),""),"")</f>
      </c>
      <c r="E142" s="201">
        <f>IF($C142,'Proyecto Datos (OKR´s)'!$E142,"")</f>
      </c>
      <c r="F142" s="202">
        <f>IF($C142,'Proyecto Datos (OKR´s)'!$G142,"")</f>
      </c>
      <c r="G142" s="202">
        <f>IF($C142,IF('Proyecto Datos (OKR´s)'!$I142="","(Sin asignar)",'Proyecto Datos (OKR´s)'!$I142),"")</f>
      </c>
      <c r="H142" s="201">
        <f>IF($C142,IF(ISNUMBER('Proyecto Datos (OKR´s)'!$F142),'Proyecto Datos (OKR´s)'!$F142,'Proyecto Datos (OKR´s)'!$L142),"")</f>
      </c>
      <c r="I142" s="201">
        <f>IF($C142,'Proyecto Datos (OKR´s)'!$J142,"")</f>
      </c>
      <c r="J142" s="202">
        <f>IF($C142,IF($I142&gt;=1,"Completado",IF($H142&lt;TODAY(),"Vencido",IF(($H142-TODAY())&lt;='Entregas Próximas'!$M$3,"Próximo a vencer","En curso"))),"")</f>
      </c>
      <c r="K142" s="201">
        <f>IF($C142,$H142-TODAY(),"")</f>
      </c>
      <c r="L142" s="201">
        <f>IF($C142,$AD142*1000000+$H142+ROW()/100000,"")</f>
      </c>
      <c r="M142" s="201">
        <f>IF($C142,IF($AD142=9999,"(Sin sprint)",$AD142),"")</f>
      </c>
      <c r="N142" s="201">
        <f>IF($C142,IF('Proyecto Datos (OKR´s)'!$E142="",9999,'Proyecto Datos (OKR´s)'!$E142),"")</f>
      </c>
      <c r="O142" s="201">
        <f>IF($C142,"T"&amp;TEXT(ROW(),"000"),"")</f>
      </c>
      <c r="R142" s="201">
        <f>IF($C142,IF(ISNUMBER('Proyecto Datos (OKR´s)'!$L142),'Proyecto Datos (OKR´s)'!$L142,$H142),"")</f>
      </c>
      <c r="S142" s="201">
        <f>IF($C142,$R142-'Proyecto Datos (OKR´s)'!$K142+1,"")</f>
      </c>
      <c r="T142" s="201">
        <f>IF($C142,MAX(0,TODAY()-'Proyecto Datos (OKR´s)'!$K142),"")</f>
      </c>
      <c r="U142" s="201">
        <f>IF($C142,MEDIAN(0,(TODAY()-'Proyecto Datos (OKR´s)'!$K142)/MAX(1,$R142-'Proyecto Datos (OKR´s)'!$K142),1),"")</f>
      </c>
      <c r="V142" s="201">
        <f>IF($C142,$I142-$U142,"")</f>
      </c>
      <c r="W142" s="201">
        <f>IF($C142,IF($J142="Completado",0,MAX(0,TODAY()-$H142)),"")</f>
      </c>
      <c r="X142" s="201">
        <f>IF($C142,IF(ISNUMBER($H142),$R142-$H142,0),"")</f>
      </c>
      <c r="Y142" s="201">
        <f>IF($C142,COUNTIFS($G$7:$G$200,$G142,$J$7:$J$200,"&lt;&gt;Completado",$J$7:$J$200,"&lt;&gt;"),"")</f>
      </c>
      <c r="Z142" s="201">
        <f>IF($C142,AND($I142=0,'Proyecto Datos (OKR´s)'!$K142&lt;=TODAY(),$J142&lt;&gt;"Completado"),"")</f>
      </c>
      <c r="AA142" s="201">
        <f>IF($C142,ROUND(100*(0.35*$AK142+0.3*$AL142+0.2*$AM142+0.15*MEDIAN(0,($Y142-4)/8,1)),0),"")</f>
      </c>
      <c r="AB142" s="202">
        <f>IF($C142,IF($J142="Completado","—",IF($AA142&gt;=70,"Crítica",IF($AA142&gt;=45,"Alta",IF($AA142&gt;=25,"Media","Baja")))),"")</f>
      </c>
      <c r="AC142" s="202">
        <f>IF($C142,IF(LEN(TRIM($AN142))=0,"—",TRIM($AN142)),"")</f>
      </c>
      <c r="AD142" s="201">
        <f>IF($C142,IF($N142=9999,9999,IF($J142="Completado",$N142,MAX($N142,'Historial de Sprints'!$C$7))),"")</f>
      </c>
      <c r="AE142" s="201">
        <f>IF($C142,IF($AD142=9999,"(Sin sprint)",$AD142),"")</f>
      </c>
      <c r="AF142" s="201">
        <f>IF($C142,AND($N142&lt;&gt;9999,$AD142&lt;&gt;$N142),FALSE)</f>
      </c>
      <c r="AG142" s="201">
        <f>IF($AF142,'Historial de Sprints'!$C$5+$N142*'Historial de Sprints'!$C$6-1,"")</f>
      </c>
      <c r="AH142" s="202">
        <f>IF($AF142,"No completada al cierre del Sprint "&amp;$N142&amp;" -&gt; reasignada al Sprint "&amp;$AD142,"")</f>
      </c>
      <c r="AI142" s="201">
        <f>IF($AF142,$N142*100000+ROW(),"")</f>
      </c>
      <c r="AJ142" s="201">
        <f>IF($C142,$AA142*1000000-MEDIAN(-9999,$K142,9999)*100+(300-ROW()),"")</f>
      </c>
      <c r="AK142" s="201">
        <f>IF($C142,IF($J142="Completado",0,IF($K142&lt;0,1,IF($K142&lt;=3,0.9,IF($K142&lt;=7,0.7,IF($K142&lt;=14,0.45,0.2))))),"")</f>
      </c>
      <c r="AL142" s="201">
        <f>IF($C142,IF($J142="Completado",0,MEDIAN(0,MAX(-$V142,$W142/30),1)),"")</f>
      </c>
      <c r="AM142" s="201">
        <f>IF($C142,IF($J142="Completado",0,IF($Z142,1,IF(AND($I142&lt;0.5,$K142&lt;=7),0.7,0.3))),"")</f>
      </c>
      <c r="AN142" s="202">
        <f>IF($C142,IF(OR($V142&lt;-0.2,$W142&gt;0),"ATRASO ","")&amp;IF($Z142,"BLOQUEO ","")&amp;IF($Y142&gt;8,"SOBRECARGA ","")&amp;IF($X142&gt;0,"DESVÍO-PLAN ",""),"")</f>
      </c>
    </row>
    <row r="143">
      <c r="A143" s="201">
        <f>ROW()</f>
      </c>
      <c r="B143" s="201">
        <f>ISTEXT('Proyecto Datos (OKR´s)'!$K143)</f>
      </c>
      <c r="C143" s="201">
        <f>AND(LEN('Proyecto Datos (OKR´s)'!$G143)&gt;0,NOT($B143),OR(ISNUMBER('Proyecto Datos (OKR´s)'!$F143),ISNUMBER('Proyecto Datos (OKR´s)'!$L143)))</f>
      </c>
      <c r="D143" s="202">
        <f>IF($C143,IFERROR(LOOKUP(2,1/((ISTEXT('Proyecto Datos (OKR´s)'!$K$7:$K143))*(LEN('Proyecto Datos (OKR´s)'!$G$7:$G143)&gt;0)),'Proyecto Datos (OKR´s)'!$G$7:$G143),""),"")</f>
      </c>
      <c r="E143" s="201">
        <f>IF($C143,'Proyecto Datos (OKR´s)'!$E143,"")</f>
      </c>
      <c r="F143" s="202">
        <f>IF($C143,'Proyecto Datos (OKR´s)'!$G143,"")</f>
      </c>
      <c r="G143" s="202">
        <f>IF($C143,IF('Proyecto Datos (OKR´s)'!$I143="","(Sin asignar)",'Proyecto Datos (OKR´s)'!$I143),"")</f>
      </c>
      <c r="H143" s="201">
        <f>IF($C143,IF(ISNUMBER('Proyecto Datos (OKR´s)'!$F143),'Proyecto Datos (OKR´s)'!$F143,'Proyecto Datos (OKR´s)'!$L143),"")</f>
      </c>
      <c r="I143" s="201">
        <f>IF($C143,'Proyecto Datos (OKR´s)'!$J143,"")</f>
      </c>
      <c r="J143" s="202">
        <f>IF($C143,IF($I143&gt;=1,"Completado",IF($H143&lt;TODAY(),"Vencido",IF(($H143-TODAY())&lt;='Entregas Próximas'!$M$3,"Próximo a vencer","En curso"))),"")</f>
      </c>
      <c r="K143" s="201">
        <f>IF($C143,$H143-TODAY(),"")</f>
      </c>
      <c r="L143" s="201">
        <f>IF($C143,$AD143*1000000+$H143+ROW()/100000,"")</f>
      </c>
      <c r="M143" s="201">
        <f>IF($C143,IF($AD143=9999,"(Sin sprint)",$AD143),"")</f>
      </c>
      <c r="N143" s="201">
        <f>IF($C143,IF('Proyecto Datos (OKR´s)'!$E143="",9999,'Proyecto Datos (OKR´s)'!$E143),"")</f>
      </c>
      <c r="O143" s="201">
        <f>IF($C143,"T"&amp;TEXT(ROW(),"000"),"")</f>
      </c>
      <c r="R143" s="201">
        <f>IF($C143,IF(ISNUMBER('Proyecto Datos (OKR´s)'!$L143),'Proyecto Datos (OKR´s)'!$L143,$H143),"")</f>
      </c>
      <c r="S143" s="201">
        <f>IF($C143,$R143-'Proyecto Datos (OKR´s)'!$K143+1,"")</f>
      </c>
      <c r="T143" s="201">
        <f>IF($C143,MAX(0,TODAY()-'Proyecto Datos (OKR´s)'!$K143),"")</f>
      </c>
      <c r="U143" s="201">
        <f>IF($C143,MEDIAN(0,(TODAY()-'Proyecto Datos (OKR´s)'!$K143)/MAX(1,$R143-'Proyecto Datos (OKR´s)'!$K143),1),"")</f>
      </c>
      <c r="V143" s="201">
        <f>IF($C143,$I143-$U143,"")</f>
      </c>
      <c r="W143" s="201">
        <f>IF($C143,IF($J143="Completado",0,MAX(0,TODAY()-$H143)),"")</f>
      </c>
      <c r="X143" s="201">
        <f>IF($C143,IF(ISNUMBER($H143),$R143-$H143,0),"")</f>
      </c>
      <c r="Y143" s="201">
        <f>IF($C143,COUNTIFS($G$7:$G$200,$G143,$J$7:$J$200,"&lt;&gt;Completado",$J$7:$J$200,"&lt;&gt;"),"")</f>
      </c>
      <c r="Z143" s="201">
        <f>IF($C143,AND($I143=0,'Proyecto Datos (OKR´s)'!$K143&lt;=TODAY(),$J143&lt;&gt;"Completado"),"")</f>
      </c>
      <c r="AA143" s="201">
        <f>IF($C143,ROUND(100*(0.35*$AK143+0.3*$AL143+0.2*$AM143+0.15*MEDIAN(0,($Y143-4)/8,1)),0),"")</f>
      </c>
      <c r="AB143" s="202">
        <f>IF($C143,IF($J143="Completado","—",IF($AA143&gt;=70,"Crítica",IF($AA143&gt;=45,"Alta",IF($AA143&gt;=25,"Media","Baja")))),"")</f>
      </c>
      <c r="AC143" s="202">
        <f>IF($C143,IF(LEN(TRIM($AN143))=0,"—",TRIM($AN143)),"")</f>
      </c>
      <c r="AD143" s="201">
        <f>IF($C143,IF($N143=9999,9999,IF($J143="Completado",$N143,MAX($N143,'Historial de Sprints'!$C$7))),"")</f>
      </c>
      <c r="AE143" s="201">
        <f>IF($C143,IF($AD143=9999,"(Sin sprint)",$AD143),"")</f>
      </c>
      <c r="AF143" s="201">
        <f>IF($C143,AND($N143&lt;&gt;9999,$AD143&lt;&gt;$N143),FALSE)</f>
      </c>
      <c r="AG143" s="201">
        <f>IF($AF143,'Historial de Sprints'!$C$5+$N143*'Historial de Sprints'!$C$6-1,"")</f>
      </c>
      <c r="AH143" s="202">
        <f>IF($AF143,"No completada al cierre del Sprint "&amp;$N143&amp;" -&gt; reasignada al Sprint "&amp;$AD143,"")</f>
      </c>
      <c r="AI143" s="201">
        <f>IF($AF143,$N143*100000+ROW(),"")</f>
      </c>
      <c r="AJ143" s="201">
        <f>IF($C143,$AA143*1000000-MEDIAN(-9999,$K143,9999)*100+(300-ROW()),"")</f>
      </c>
      <c r="AK143" s="201">
        <f>IF($C143,IF($J143="Completado",0,IF($K143&lt;0,1,IF($K143&lt;=3,0.9,IF($K143&lt;=7,0.7,IF($K143&lt;=14,0.45,0.2))))),"")</f>
      </c>
      <c r="AL143" s="201">
        <f>IF($C143,IF($J143="Completado",0,MEDIAN(0,MAX(-$V143,$W143/30),1)),"")</f>
      </c>
      <c r="AM143" s="201">
        <f>IF($C143,IF($J143="Completado",0,IF($Z143,1,IF(AND($I143&lt;0.5,$K143&lt;=7),0.7,0.3))),"")</f>
      </c>
      <c r="AN143" s="202">
        <f>IF($C143,IF(OR($V143&lt;-0.2,$W143&gt;0),"ATRASO ","")&amp;IF($Z143,"BLOQUEO ","")&amp;IF($Y143&gt;8,"SOBRECARGA ","")&amp;IF($X143&gt;0,"DESVÍO-PLAN ",""),"")</f>
      </c>
    </row>
    <row r="144">
      <c r="A144" s="201">
        <f>ROW()</f>
      </c>
      <c r="B144" s="201">
        <f>ISTEXT('Proyecto Datos (OKR´s)'!$K144)</f>
      </c>
      <c r="C144" s="201">
        <f>AND(LEN('Proyecto Datos (OKR´s)'!$G144)&gt;0,NOT($B144),OR(ISNUMBER('Proyecto Datos (OKR´s)'!$F144),ISNUMBER('Proyecto Datos (OKR´s)'!$L144)))</f>
      </c>
      <c r="D144" s="202">
        <f>IF($C144,IFERROR(LOOKUP(2,1/((ISTEXT('Proyecto Datos (OKR´s)'!$K$7:$K144))*(LEN('Proyecto Datos (OKR´s)'!$G$7:$G144)&gt;0)),'Proyecto Datos (OKR´s)'!$G$7:$G144),""),"")</f>
      </c>
      <c r="E144" s="201">
        <f>IF($C144,'Proyecto Datos (OKR´s)'!$E144,"")</f>
      </c>
      <c r="F144" s="202">
        <f>IF($C144,'Proyecto Datos (OKR´s)'!$G144,"")</f>
      </c>
      <c r="G144" s="202">
        <f>IF($C144,IF('Proyecto Datos (OKR´s)'!$I144="","(Sin asignar)",'Proyecto Datos (OKR´s)'!$I144),"")</f>
      </c>
      <c r="H144" s="201">
        <f>IF($C144,IF(ISNUMBER('Proyecto Datos (OKR´s)'!$F144),'Proyecto Datos (OKR´s)'!$F144,'Proyecto Datos (OKR´s)'!$L144),"")</f>
      </c>
      <c r="I144" s="201">
        <f>IF($C144,'Proyecto Datos (OKR´s)'!$J144,"")</f>
      </c>
      <c r="J144" s="202">
        <f>IF($C144,IF($I144&gt;=1,"Completado",IF($H144&lt;TODAY(),"Vencido",IF(($H144-TODAY())&lt;='Entregas Próximas'!$M$3,"Próximo a vencer","En curso"))),"")</f>
      </c>
      <c r="K144" s="201">
        <f>IF($C144,$H144-TODAY(),"")</f>
      </c>
      <c r="L144" s="201">
        <f>IF($C144,$AD144*1000000+$H144+ROW()/100000,"")</f>
      </c>
      <c r="M144" s="201">
        <f>IF($C144,IF($AD144=9999,"(Sin sprint)",$AD144),"")</f>
      </c>
      <c r="N144" s="201">
        <f>IF($C144,IF('Proyecto Datos (OKR´s)'!$E144="",9999,'Proyecto Datos (OKR´s)'!$E144),"")</f>
      </c>
      <c r="O144" s="201">
        <f>IF($C144,"T"&amp;TEXT(ROW(),"000"),"")</f>
      </c>
      <c r="R144" s="201">
        <f>IF($C144,IF(ISNUMBER('Proyecto Datos (OKR´s)'!$L144),'Proyecto Datos (OKR´s)'!$L144,$H144),"")</f>
      </c>
      <c r="S144" s="201">
        <f>IF($C144,$R144-'Proyecto Datos (OKR´s)'!$K144+1,"")</f>
      </c>
      <c r="T144" s="201">
        <f>IF($C144,MAX(0,TODAY()-'Proyecto Datos (OKR´s)'!$K144),"")</f>
      </c>
      <c r="U144" s="201">
        <f>IF($C144,MEDIAN(0,(TODAY()-'Proyecto Datos (OKR´s)'!$K144)/MAX(1,$R144-'Proyecto Datos (OKR´s)'!$K144),1),"")</f>
      </c>
      <c r="V144" s="201">
        <f>IF($C144,$I144-$U144,"")</f>
      </c>
      <c r="W144" s="201">
        <f>IF($C144,IF($J144="Completado",0,MAX(0,TODAY()-$H144)),"")</f>
      </c>
      <c r="X144" s="201">
        <f>IF($C144,IF(ISNUMBER($H144),$R144-$H144,0),"")</f>
      </c>
      <c r="Y144" s="201">
        <f>IF($C144,COUNTIFS($G$7:$G$200,$G144,$J$7:$J$200,"&lt;&gt;Completado",$J$7:$J$200,"&lt;&gt;"),"")</f>
      </c>
      <c r="Z144" s="201">
        <f>IF($C144,AND($I144=0,'Proyecto Datos (OKR´s)'!$K144&lt;=TODAY(),$J144&lt;&gt;"Completado"),"")</f>
      </c>
      <c r="AA144" s="201">
        <f>IF($C144,ROUND(100*(0.35*$AK144+0.3*$AL144+0.2*$AM144+0.15*MEDIAN(0,($Y144-4)/8,1)),0),"")</f>
      </c>
      <c r="AB144" s="202">
        <f>IF($C144,IF($J144="Completado","—",IF($AA144&gt;=70,"Crítica",IF($AA144&gt;=45,"Alta",IF($AA144&gt;=25,"Media","Baja")))),"")</f>
      </c>
      <c r="AC144" s="202">
        <f>IF($C144,IF(LEN(TRIM($AN144))=0,"—",TRIM($AN144)),"")</f>
      </c>
      <c r="AD144" s="201">
        <f>IF($C144,IF($N144=9999,9999,IF($J144="Completado",$N144,MAX($N144,'Historial de Sprints'!$C$7))),"")</f>
      </c>
      <c r="AE144" s="201">
        <f>IF($C144,IF($AD144=9999,"(Sin sprint)",$AD144),"")</f>
      </c>
      <c r="AF144" s="201">
        <f>IF($C144,AND($N144&lt;&gt;9999,$AD144&lt;&gt;$N144),FALSE)</f>
      </c>
      <c r="AG144" s="201">
        <f>IF($AF144,'Historial de Sprints'!$C$5+$N144*'Historial de Sprints'!$C$6-1,"")</f>
      </c>
      <c r="AH144" s="202">
        <f>IF($AF144,"No completada al cierre del Sprint "&amp;$N144&amp;" -&gt; reasignada al Sprint "&amp;$AD144,"")</f>
      </c>
      <c r="AI144" s="201">
        <f>IF($AF144,$N144*100000+ROW(),"")</f>
      </c>
      <c r="AJ144" s="201">
        <f>IF($C144,$AA144*1000000-MEDIAN(-9999,$K144,9999)*100+(300-ROW()),"")</f>
      </c>
      <c r="AK144" s="201">
        <f>IF($C144,IF($J144="Completado",0,IF($K144&lt;0,1,IF($K144&lt;=3,0.9,IF($K144&lt;=7,0.7,IF($K144&lt;=14,0.45,0.2))))),"")</f>
      </c>
      <c r="AL144" s="201">
        <f>IF($C144,IF($J144="Completado",0,MEDIAN(0,MAX(-$V144,$W144/30),1)),"")</f>
      </c>
      <c r="AM144" s="201">
        <f>IF($C144,IF($J144="Completado",0,IF($Z144,1,IF(AND($I144&lt;0.5,$K144&lt;=7),0.7,0.3))),"")</f>
      </c>
      <c r="AN144" s="202">
        <f>IF($C144,IF(OR($V144&lt;-0.2,$W144&gt;0),"ATRASO ","")&amp;IF($Z144,"BLOQUEO ","")&amp;IF($Y144&gt;8,"SOBRECARGA ","")&amp;IF($X144&gt;0,"DESVÍO-PLAN ",""),"")</f>
      </c>
    </row>
    <row r="145">
      <c r="A145" s="201">
        <f>ROW()</f>
      </c>
      <c r="B145" s="201">
        <f>ISTEXT('Proyecto Datos (OKR´s)'!$K145)</f>
      </c>
      <c r="C145" s="201">
        <f>AND(LEN('Proyecto Datos (OKR´s)'!$G145)&gt;0,NOT($B145),OR(ISNUMBER('Proyecto Datos (OKR´s)'!$F145),ISNUMBER('Proyecto Datos (OKR´s)'!$L145)))</f>
      </c>
      <c r="D145" s="202">
        <f>IF($C145,IFERROR(LOOKUP(2,1/((ISTEXT('Proyecto Datos (OKR´s)'!$K$7:$K145))*(LEN('Proyecto Datos (OKR´s)'!$G$7:$G145)&gt;0)),'Proyecto Datos (OKR´s)'!$G$7:$G145),""),"")</f>
      </c>
      <c r="E145" s="201">
        <f>IF($C145,'Proyecto Datos (OKR´s)'!$E145,"")</f>
      </c>
      <c r="F145" s="202">
        <f>IF($C145,'Proyecto Datos (OKR´s)'!$G145,"")</f>
      </c>
      <c r="G145" s="202">
        <f>IF($C145,IF('Proyecto Datos (OKR´s)'!$I145="","(Sin asignar)",'Proyecto Datos (OKR´s)'!$I145),"")</f>
      </c>
      <c r="H145" s="201">
        <f>IF($C145,IF(ISNUMBER('Proyecto Datos (OKR´s)'!$F145),'Proyecto Datos (OKR´s)'!$F145,'Proyecto Datos (OKR´s)'!$L145),"")</f>
      </c>
      <c r="I145" s="201">
        <f>IF($C145,'Proyecto Datos (OKR´s)'!$J145,"")</f>
      </c>
      <c r="J145" s="202">
        <f>IF($C145,IF($I145&gt;=1,"Completado",IF($H145&lt;TODAY(),"Vencido",IF(($H145-TODAY())&lt;='Entregas Próximas'!$M$3,"Próximo a vencer","En curso"))),"")</f>
      </c>
      <c r="K145" s="201">
        <f>IF($C145,$H145-TODAY(),"")</f>
      </c>
      <c r="L145" s="201">
        <f>IF($C145,$AD145*1000000+$H145+ROW()/100000,"")</f>
      </c>
      <c r="M145" s="201">
        <f>IF($C145,IF($AD145=9999,"(Sin sprint)",$AD145),"")</f>
      </c>
      <c r="N145" s="201">
        <f>IF($C145,IF('Proyecto Datos (OKR´s)'!$E145="",9999,'Proyecto Datos (OKR´s)'!$E145),"")</f>
      </c>
      <c r="O145" s="201">
        <f>IF($C145,"T"&amp;TEXT(ROW(),"000"),"")</f>
      </c>
      <c r="R145" s="201">
        <f>IF($C145,IF(ISNUMBER('Proyecto Datos (OKR´s)'!$L145),'Proyecto Datos (OKR´s)'!$L145,$H145),"")</f>
      </c>
      <c r="S145" s="201">
        <f>IF($C145,$R145-'Proyecto Datos (OKR´s)'!$K145+1,"")</f>
      </c>
      <c r="T145" s="201">
        <f>IF($C145,MAX(0,TODAY()-'Proyecto Datos (OKR´s)'!$K145),"")</f>
      </c>
      <c r="U145" s="201">
        <f>IF($C145,MEDIAN(0,(TODAY()-'Proyecto Datos (OKR´s)'!$K145)/MAX(1,$R145-'Proyecto Datos (OKR´s)'!$K145),1),"")</f>
      </c>
      <c r="V145" s="201">
        <f>IF($C145,$I145-$U145,"")</f>
      </c>
      <c r="W145" s="201">
        <f>IF($C145,IF($J145="Completado",0,MAX(0,TODAY()-$H145)),"")</f>
      </c>
      <c r="X145" s="201">
        <f>IF($C145,IF(ISNUMBER($H145),$R145-$H145,0),"")</f>
      </c>
      <c r="Y145" s="201">
        <f>IF($C145,COUNTIFS($G$7:$G$200,$G145,$J$7:$J$200,"&lt;&gt;Completado",$J$7:$J$200,"&lt;&gt;"),"")</f>
      </c>
      <c r="Z145" s="201">
        <f>IF($C145,AND($I145=0,'Proyecto Datos (OKR´s)'!$K145&lt;=TODAY(),$J145&lt;&gt;"Completado"),"")</f>
      </c>
      <c r="AA145" s="201">
        <f>IF($C145,ROUND(100*(0.35*$AK145+0.3*$AL145+0.2*$AM145+0.15*MEDIAN(0,($Y145-4)/8,1)),0),"")</f>
      </c>
      <c r="AB145" s="202">
        <f>IF($C145,IF($J145="Completado","—",IF($AA145&gt;=70,"Crítica",IF($AA145&gt;=45,"Alta",IF($AA145&gt;=25,"Media","Baja")))),"")</f>
      </c>
      <c r="AC145" s="202">
        <f>IF($C145,IF(LEN(TRIM($AN145))=0,"—",TRIM($AN145)),"")</f>
      </c>
      <c r="AD145" s="201">
        <f>IF($C145,IF($N145=9999,9999,IF($J145="Completado",$N145,MAX($N145,'Historial de Sprints'!$C$7))),"")</f>
      </c>
      <c r="AE145" s="201">
        <f>IF($C145,IF($AD145=9999,"(Sin sprint)",$AD145),"")</f>
      </c>
      <c r="AF145" s="201">
        <f>IF($C145,AND($N145&lt;&gt;9999,$AD145&lt;&gt;$N145),FALSE)</f>
      </c>
      <c r="AG145" s="201">
        <f>IF($AF145,'Historial de Sprints'!$C$5+$N145*'Historial de Sprints'!$C$6-1,"")</f>
      </c>
      <c r="AH145" s="202">
        <f>IF($AF145,"No completada al cierre del Sprint "&amp;$N145&amp;" -&gt; reasignada al Sprint "&amp;$AD145,"")</f>
      </c>
      <c r="AI145" s="201">
        <f>IF($AF145,$N145*100000+ROW(),"")</f>
      </c>
      <c r="AJ145" s="201">
        <f>IF($C145,$AA145*1000000-MEDIAN(-9999,$K145,9999)*100+(300-ROW()),"")</f>
      </c>
      <c r="AK145" s="201">
        <f>IF($C145,IF($J145="Completado",0,IF($K145&lt;0,1,IF($K145&lt;=3,0.9,IF($K145&lt;=7,0.7,IF($K145&lt;=14,0.45,0.2))))),"")</f>
      </c>
      <c r="AL145" s="201">
        <f>IF($C145,IF($J145="Completado",0,MEDIAN(0,MAX(-$V145,$W145/30),1)),"")</f>
      </c>
      <c r="AM145" s="201">
        <f>IF($C145,IF($J145="Completado",0,IF($Z145,1,IF(AND($I145&lt;0.5,$K145&lt;=7),0.7,0.3))),"")</f>
      </c>
      <c r="AN145" s="202">
        <f>IF($C145,IF(OR($V145&lt;-0.2,$W145&gt;0),"ATRASO ","")&amp;IF($Z145,"BLOQUEO ","")&amp;IF($Y145&gt;8,"SOBRECARGA ","")&amp;IF($X145&gt;0,"DESVÍO-PLAN ",""),"")</f>
      </c>
    </row>
    <row r="146">
      <c r="A146" s="201">
        <f>ROW()</f>
      </c>
      <c r="B146" s="201">
        <f>ISTEXT('Proyecto Datos (OKR´s)'!$K146)</f>
      </c>
      <c r="C146" s="201">
        <f>AND(LEN('Proyecto Datos (OKR´s)'!$G146)&gt;0,NOT($B146),OR(ISNUMBER('Proyecto Datos (OKR´s)'!$F146),ISNUMBER('Proyecto Datos (OKR´s)'!$L146)))</f>
      </c>
      <c r="D146" s="202">
        <f>IF($C146,IFERROR(LOOKUP(2,1/((ISTEXT('Proyecto Datos (OKR´s)'!$K$7:$K146))*(LEN('Proyecto Datos (OKR´s)'!$G$7:$G146)&gt;0)),'Proyecto Datos (OKR´s)'!$G$7:$G146),""),"")</f>
      </c>
      <c r="E146" s="201">
        <f>IF($C146,'Proyecto Datos (OKR´s)'!$E146,"")</f>
      </c>
      <c r="F146" s="202">
        <f>IF($C146,'Proyecto Datos (OKR´s)'!$G146,"")</f>
      </c>
      <c r="G146" s="202">
        <f>IF($C146,IF('Proyecto Datos (OKR´s)'!$I146="","(Sin asignar)",'Proyecto Datos (OKR´s)'!$I146),"")</f>
      </c>
      <c r="H146" s="201">
        <f>IF($C146,IF(ISNUMBER('Proyecto Datos (OKR´s)'!$F146),'Proyecto Datos (OKR´s)'!$F146,'Proyecto Datos (OKR´s)'!$L146),"")</f>
      </c>
      <c r="I146" s="201">
        <f>IF($C146,'Proyecto Datos (OKR´s)'!$J146,"")</f>
      </c>
      <c r="J146" s="202">
        <f>IF($C146,IF($I146&gt;=1,"Completado",IF($H146&lt;TODAY(),"Vencido",IF(($H146-TODAY())&lt;='Entregas Próximas'!$M$3,"Próximo a vencer","En curso"))),"")</f>
      </c>
      <c r="K146" s="201">
        <f>IF($C146,$H146-TODAY(),"")</f>
      </c>
      <c r="L146" s="201">
        <f>IF($C146,$AD146*1000000+$H146+ROW()/100000,"")</f>
      </c>
      <c r="M146" s="201">
        <f>IF($C146,IF($AD146=9999,"(Sin sprint)",$AD146),"")</f>
      </c>
      <c r="N146" s="201">
        <f>IF($C146,IF('Proyecto Datos (OKR´s)'!$E146="",9999,'Proyecto Datos (OKR´s)'!$E146),"")</f>
      </c>
      <c r="O146" s="201">
        <f>IF($C146,"T"&amp;TEXT(ROW(),"000"),"")</f>
      </c>
      <c r="R146" s="201">
        <f>IF($C146,IF(ISNUMBER('Proyecto Datos (OKR´s)'!$L146),'Proyecto Datos (OKR´s)'!$L146,$H146),"")</f>
      </c>
      <c r="S146" s="201">
        <f>IF($C146,$R146-'Proyecto Datos (OKR´s)'!$K146+1,"")</f>
      </c>
      <c r="T146" s="201">
        <f>IF($C146,MAX(0,TODAY()-'Proyecto Datos (OKR´s)'!$K146),"")</f>
      </c>
      <c r="U146" s="201">
        <f>IF($C146,MEDIAN(0,(TODAY()-'Proyecto Datos (OKR´s)'!$K146)/MAX(1,$R146-'Proyecto Datos (OKR´s)'!$K146),1),"")</f>
      </c>
      <c r="V146" s="201">
        <f>IF($C146,$I146-$U146,"")</f>
      </c>
      <c r="W146" s="201">
        <f>IF($C146,IF($J146="Completado",0,MAX(0,TODAY()-$H146)),"")</f>
      </c>
      <c r="X146" s="201">
        <f>IF($C146,IF(ISNUMBER($H146),$R146-$H146,0),"")</f>
      </c>
      <c r="Y146" s="201">
        <f>IF($C146,COUNTIFS($G$7:$G$200,$G146,$J$7:$J$200,"&lt;&gt;Completado",$J$7:$J$200,"&lt;&gt;"),"")</f>
      </c>
      <c r="Z146" s="201">
        <f>IF($C146,AND($I146=0,'Proyecto Datos (OKR´s)'!$K146&lt;=TODAY(),$J146&lt;&gt;"Completado"),"")</f>
      </c>
      <c r="AA146" s="201">
        <f>IF($C146,ROUND(100*(0.35*$AK146+0.3*$AL146+0.2*$AM146+0.15*MEDIAN(0,($Y146-4)/8,1)),0),"")</f>
      </c>
      <c r="AB146" s="202">
        <f>IF($C146,IF($J146="Completado","—",IF($AA146&gt;=70,"Crítica",IF($AA146&gt;=45,"Alta",IF($AA146&gt;=25,"Media","Baja")))),"")</f>
      </c>
      <c r="AC146" s="202">
        <f>IF($C146,IF(LEN(TRIM($AN146))=0,"—",TRIM($AN146)),"")</f>
      </c>
      <c r="AD146" s="201">
        <f>IF($C146,IF($N146=9999,9999,IF($J146="Completado",$N146,MAX($N146,'Historial de Sprints'!$C$7))),"")</f>
      </c>
      <c r="AE146" s="201">
        <f>IF($C146,IF($AD146=9999,"(Sin sprint)",$AD146),"")</f>
      </c>
      <c r="AF146" s="201">
        <f>IF($C146,AND($N146&lt;&gt;9999,$AD146&lt;&gt;$N146),FALSE)</f>
      </c>
      <c r="AG146" s="201">
        <f>IF($AF146,'Historial de Sprints'!$C$5+$N146*'Historial de Sprints'!$C$6-1,"")</f>
      </c>
      <c r="AH146" s="202">
        <f>IF($AF146,"No completada al cierre del Sprint "&amp;$N146&amp;" -&gt; reasignada al Sprint "&amp;$AD146,"")</f>
      </c>
      <c r="AI146" s="201">
        <f>IF($AF146,$N146*100000+ROW(),"")</f>
      </c>
      <c r="AJ146" s="201">
        <f>IF($C146,$AA146*1000000-MEDIAN(-9999,$K146,9999)*100+(300-ROW()),"")</f>
      </c>
      <c r="AK146" s="201">
        <f>IF($C146,IF($J146="Completado",0,IF($K146&lt;0,1,IF($K146&lt;=3,0.9,IF($K146&lt;=7,0.7,IF($K146&lt;=14,0.45,0.2))))),"")</f>
      </c>
      <c r="AL146" s="201">
        <f>IF($C146,IF($J146="Completado",0,MEDIAN(0,MAX(-$V146,$W146/30),1)),"")</f>
      </c>
      <c r="AM146" s="201">
        <f>IF($C146,IF($J146="Completado",0,IF($Z146,1,IF(AND($I146&lt;0.5,$K146&lt;=7),0.7,0.3))),"")</f>
      </c>
      <c r="AN146" s="202">
        <f>IF($C146,IF(OR($V146&lt;-0.2,$W146&gt;0),"ATRASO ","")&amp;IF($Z146,"BLOQUEO ","")&amp;IF($Y146&gt;8,"SOBRECARGA ","")&amp;IF($X146&gt;0,"DESVÍO-PLAN ",""),"")</f>
      </c>
    </row>
    <row r="147">
      <c r="A147" s="201">
        <f>ROW()</f>
      </c>
      <c r="B147" s="201">
        <f>ISTEXT('Proyecto Datos (OKR´s)'!$K147)</f>
      </c>
      <c r="C147" s="201">
        <f>AND(LEN('Proyecto Datos (OKR´s)'!$G147)&gt;0,NOT($B147),OR(ISNUMBER('Proyecto Datos (OKR´s)'!$F147),ISNUMBER('Proyecto Datos (OKR´s)'!$L147)))</f>
      </c>
      <c r="D147" s="202">
        <f>IF($C147,IFERROR(LOOKUP(2,1/((ISTEXT('Proyecto Datos (OKR´s)'!$K$7:$K147))*(LEN('Proyecto Datos (OKR´s)'!$G$7:$G147)&gt;0)),'Proyecto Datos (OKR´s)'!$G$7:$G147),""),"")</f>
      </c>
      <c r="E147" s="201">
        <f>IF($C147,'Proyecto Datos (OKR´s)'!$E147,"")</f>
      </c>
      <c r="F147" s="202">
        <f>IF($C147,'Proyecto Datos (OKR´s)'!$G147,"")</f>
      </c>
      <c r="G147" s="202">
        <f>IF($C147,IF('Proyecto Datos (OKR´s)'!$I147="","(Sin asignar)",'Proyecto Datos (OKR´s)'!$I147),"")</f>
      </c>
      <c r="H147" s="201">
        <f>IF($C147,IF(ISNUMBER('Proyecto Datos (OKR´s)'!$F147),'Proyecto Datos (OKR´s)'!$F147,'Proyecto Datos (OKR´s)'!$L147),"")</f>
      </c>
      <c r="I147" s="201">
        <f>IF($C147,'Proyecto Datos (OKR´s)'!$J147,"")</f>
      </c>
      <c r="J147" s="202">
        <f>IF($C147,IF($I147&gt;=1,"Completado",IF($H147&lt;TODAY(),"Vencido",IF(($H147-TODAY())&lt;='Entregas Próximas'!$M$3,"Próximo a vencer","En curso"))),"")</f>
      </c>
      <c r="K147" s="201">
        <f>IF($C147,$H147-TODAY(),"")</f>
      </c>
      <c r="L147" s="201">
        <f>IF($C147,$AD147*1000000+$H147+ROW()/100000,"")</f>
      </c>
      <c r="M147" s="201">
        <f>IF($C147,IF($AD147=9999,"(Sin sprint)",$AD147),"")</f>
      </c>
      <c r="N147" s="201">
        <f>IF($C147,IF('Proyecto Datos (OKR´s)'!$E147="",9999,'Proyecto Datos (OKR´s)'!$E147),"")</f>
      </c>
      <c r="O147" s="201">
        <f>IF($C147,"T"&amp;TEXT(ROW(),"000"),"")</f>
      </c>
      <c r="R147" s="201">
        <f>IF($C147,IF(ISNUMBER('Proyecto Datos (OKR´s)'!$L147),'Proyecto Datos (OKR´s)'!$L147,$H147),"")</f>
      </c>
      <c r="S147" s="201">
        <f>IF($C147,$R147-'Proyecto Datos (OKR´s)'!$K147+1,"")</f>
      </c>
      <c r="T147" s="201">
        <f>IF($C147,MAX(0,TODAY()-'Proyecto Datos (OKR´s)'!$K147),"")</f>
      </c>
      <c r="U147" s="201">
        <f>IF($C147,MEDIAN(0,(TODAY()-'Proyecto Datos (OKR´s)'!$K147)/MAX(1,$R147-'Proyecto Datos (OKR´s)'!$K147),1),"")</f>
      </c>
      <c r="V147" s="201">
        <f>IF($C147,$I147-$U147,"")</f>
      </c>
      <c r="W147" s="201">
        <f>IF($C147,IF($J147="Completado",0,MAX(0,TODAY()-$H147)),"")</f>
      </c>
      <c r="X147" s="201">
        <f>IF($C147,IF(ISNUMBER($H147),$R147-$H147,0),"")</f>
      </c>
      <c r="Y147" s="201">
        <f>IF($C147,COUNTIFS($G$7:$G$200,$G147,$J$7:$J$200,"&lt;&gt;Completado",$J$7:$J$200,"&lt;&gt;"),"")</f>
      </c>
      <c r="Z147" s="201">
        <f>IF($C147,AND($I147=0,'Proyecto Datos (OKR´s)'!$K147&lt;=TODAY(),$J147&lt;&gt;"Completado"),"")</f>
      </c>
      <c r="AA147" s="201">
        <f>IF($C147,ROUND(100*(0.35*$AK147+0.3*$AL147+0.2*$AM147+0.15*MEDIAN(0,($Y147-4)/8,1)),0),"")</f>
      </c>
      <c r="AB147" s="202">
        <f>IF($C147,IF($J147="Completado","—",IF($AA147&gt;=70,"Crítica",IF($AA147&gt;=45,"Alta",IF($AA147&gt;=25,"Media","Baja")))),"")</f>
      </c>
      <c r="AC147" s="202">
        <f>IF($C147,IF(LEN(TRIM($AN147))=0,"—",TRIM($AN147)),"")</f>
      </c>
      <c r="AD147" s="201">
        <f>IF($C147,IF($N147=9999,9999,IF($J147="Completado",$N147,MAX($N147,'Historial de Sprints'!$C$7))),"")</f>
      </c>
      <c r="AE147" s="201">
        <f>IF($C147,IF($AD147=9999,"(Sin sprint)",$AD147),"")</f>
      </c>
      <c r="AF147" s="201">
        <f>IF($C147,AND($N147&lt;&gt;9999,$AD147&lt;&gt;$N147),FALSE)</f>
      </c>
      <c r="AG147" s="201">
        <f>IF($AF147,'Historial de Sprints'!$C$5+$N147*'Historial de Sprints'!$C$6-1,"")</f>
      </c>
      <c r="AH147" s="202">
        <f>IF($AF147,"No completada al cierre del Sprint "&amp;$N147&amp;" -&gt; reasignada al Sprint "&amp;$AD147,"")</f>
      </c>
      <c r="AI147" s="201">
        <f>IF($AF147,$N147*100000+ROW(),"")</f>
      </c>
      <c r="AJ147" s="201">
        <f>IF($C147,$AA147*1000000-MEDIAN(-9999,$K147,9999)*100+(300-ROW()),"")</f>
      </c>
      <c r="AK147" s="201">
        <f>IF($C147,IF($J147="Completado",0,IF($K147&lt;0,1,IF($K147&lt;=3,0.9,IF($K147&lt;=7,0.7,IF($K147&lt;=14,0.45,0.2))))),"")</f>
      </c>
      <c r="AL147" s="201">
        <f>IF($C147,IF($J147="Completado",0,MEDIAN(0,MAX(-$V147,$W147/30),1)),"")</f>
      </c>
      <c r="AM147" s="201">
        <f>IF($C147,IF($J147="Completado",0,IF($Z147,1,IF(AND($I147&lt;0.5,$K147&lt;=7),0.7,0.3))),"")</f>
      </c>
      <c r="AN147" s="202">
        <f>IF($C147,IF(OR($V147&lt;-0.2,$W147&gt;0),"ATRASO ","")&amp;IF($Z147,"BLOQUEO ","")&amp;IF($Y147&gt;8,"SOBRECARGA ","")&amp;IF($X147&gt;0,"DESVÍO-PLAN ",""),"")</f>
      </c>
    </row>
    <row r="148">
      <c r="A148" s="201">
        <f>ROW()</f>
      </c>
      <c r="B148" s="201">
        <f>ISTEXT('Proyecto Datos (OKR´s)'!$K148)</f>
      </c>
      <c r="C148" s="201">
        <f>AND(LEN('Proyecto Datos (OKR´s)'!$G148)&gt;0,NOT($B148),OR(ISNUMBER('Proyecto Datos (OKR´s)'!$F148),ISNUMBER('Proyecto Datos (OKR´s)'!$L148)))</f>
      </c>
      <c r="D148" s="202">
        <f>IF($C148,IFERROR(LOOKUP(2,1/((ISTEXT('Proyecto Datos (OKR´s)'!$K$7:$K148))*(LEN('Proyecto Datos (OKR´s)'!$G$7:$G148)&gt;0)),'Proyecto Datos (OKR´s)'!$G$7:$G148),""),"")</f>
      </c>
      <c r="E148" s="201">
        <f>IF($C148,'Proyecto Datos (OKR´s)'!$E148,"")</f>
      </c>
      <c r="F148" s="202">
        <f>IF($C148,'Proyecto Datos (OKR´s)'!$G148,"")</f>
      </c>
      <c r="G148" s="202">
        <f>IF($C148,IF('Proyecto Datos (OKR´s)'!$I148="","(Sin asignar)",'Proyecto Datos (OKR´s)'!$I148),"")</f>
      </c>
      <c r="H148" s="201">
        <f>IF($C148,IF(ISNUMBER('Proyecto Datos (OKR´s)'!$F148),'Proyecto Datos (OKR´s)'!$F148,'Proyecto Datos (OKR´s)'!$L148),"")</f>
      </c>
      <c r="I148" s="201">
        <f>IF($C148,'Proyecto Datos (OKR´s)'!$J148,"")</f>
      </c>
      <c r="J148" s="202">
        <f>IF($C148,IF($I148&gt;=1,"Completado",IF($H148&lt;TODAY(),"Vencido",IF(($H148-TODAY())&lt;='Entregas Próximas'!$M$3,"Próximo a vencer","En curso"))),"")</f>
      </c>
      <c r="K148" s="201">
        <f>IF($C148,$H148-TODAY(),"")</f>
      </c>
      <c r="L148" s="201">
        <f>IF($C148,$AD148*1000000+$H148+ROW()/100000,"")</f>
      </c>
      <c r="M148" s="201">
        <f>IF($C148,IF($AD148=9999,"(Sin sprint)",$AD148),"")</f>
      </c>
      <c r="N148" s="201">
        <f>IF($C148,IF('Proyecto Datos (OKR´s)'!$E148="",9999,'Proyecto Datos (OKR´s)'!$E148),"")</f>
      </c>
      <c r="O148" s="201">
        <f>IF($C148,"T"&amp;TEXT(ROW(),"000"),"")</f>
      </c>
      <c r="R148" s="201">
        <f>IF($C148,IF(ISNUMBER('Proyecto Datos (OKR´s)'!$L148),'Proyecto Datos (OKR´s)'!$L148,$H148),"")</f>
      </c>
      <c r="S148" s="201">
        <f>IF($C148,$R148-'Proyecto Datos (OKR´s)'!$K148+1,"")</f>
      </c>
      <c r="T148" s="201">
        <f>IF($C148,MAX(0,TODAY()-'Proyecto Datos (OKR´s)'!$K148),"")</f>
      </c>
      <c r="U148" s="201">
        <f>IF($C148,MEDIAN(0,(TODAY()-'Proyecto Datos (OKR´s)'!$K148)/MAX(1,$R148-'Proyecto Datos (OKR´s)'!$K148),1),"")</f>
      </c>
      <c r="V148" s="201">
        <f>IF($C148,$I148-$U148,"")</f>
      </c>
      <c r="W148" s="201">
        <f>IF($C148,IF($J148="Completado",0,MAX(0,TODAY()-$H148)),"")</f>
      </c>
      <c r="X148" s="201">
        <f>IF($C148,IF(ISNUMBER($H148),$R148-$H148,0),"")</f>
      </c>
      <c r="Y148" s="201">
        <f>IF($C148,COUNTIFS($G$7:$G$200,$G148,$J$7:$J$200,"&lt;&gt;Completado",$J$7:$J$200,"&lt;&gt;"),"")</f>
      </c>
      <c r="Z148" s="201">
        <f>IF($C148,AND($I148=0,'Proyecto Datos (OKR´s)'!$K148&lt;=TODAY(),$J148&lt;&gt;"Completado"),"")</f>
      </c>
      <c r="AA148" s="201">
        <f>IF($C148,ROUND(100*(0.35*$AK148+0.3*$AL148+0.2*$AM148+0.15*MEDIAN(0,($Y148-4)/8,1)),0),"")</f>
      </c>
      <c r="AB148" s="202">
        <f>IF($C148,IF($J148="Completado","—",IF($AA148&gt;=70,"Crítica",IF($AA148&gt;=45,"Alta",IF($AA148&gt;=25,"Media","Baja")))),"")</f>
      </c>
      <c r="AC148" s="202">
        <f>IF($C148,IF(LEN(TRIM($AN148))=0,"—",TRIM($AN148)),"")</f>
      </c>
      <c r="AD148" s="201">
        <f>IF($C148,IF($N148=9999,9999,IF($J148="Completado",$N148,MAX($N148,'Historial de Sprints'!$C$7))),"")</f>
      </c>
      <c r="AE148" s="201">
        <f>IF($C148,IF($AD148=9999,"(Sin sprint)",$AD148),"")</f>
      </c>
      <c r="AF148" s="201">
        <f>IF($C148,AND($N148&lt;&gt;9999,$AD148&lt;&gt;$N148),FALSE)</f>
      </c>
      <c r="AG148" s="201">
        <f>IF($AF148,'Historial de Sprints'!$C$5+$N148*'Historial de Sprints'!$C$6-1,"")</f>
      </c>
      <c r="AH148" s="202">
        <f>IF($AF148,"No completada al cierre del Sprint "&amp;$N148&amp;" -&gt; reasignada al Sprint "&amp;$AD148,"")</f>
      </c>
      <c r="AI148" s="201">
        <f>IF($AF148,$N148*100000+ROW(),"")</f>
      </c>
      <c r="AJ148" s="201">
        <f>IF($C148,$AA148*1000000-MEDIAN(-9999,$K148,9999)*100+(300-ROW()),"")</f>
      </c>
      <c r="AK148" s="201">
        <f>IF($C148,IF($J148="Completado",0,IF($K148&lt;0,1,IF($K148&lt;=3,0.9,IF($K148&lt;=7,0.7,IF($K148&lt;=14,0.45,0.2))))),"")</f>
      </c>
      <c r="AL148" s="201">
        <f>IF($C148,IF($J148="Completado",0,MEDIAN(0,MAX(-$V148,$W148/30),1)),"")</f>
      </c>
      <c r="AM148" s="201">
        <f>IF($C148,IF($J148="Completado",0,IF($Z148,1,IF(AND($I148&lt;0.5,$K148&lt;=7),0.7,0.3))),"")</f>
      </c>
      <c r="AN148" s="202">
        <f>IF($C148,IF(OR($V148&lt;-0.2,$W148&gt;0),"ATRASO ","")&amp;IF($Z148,"BLOQUEO ","")&amp;IF($Y148&gt;8,"SOBRECARGA ","")&amp;IF($X148&gt;0,"DESVÍO-PLAN ",""),"")</f>
      </c>
    </row>
    <row r="149">
      <c r="A149" s="201">
        <f>ROW()</f>
      </c>
      <c r="B149" s="201">
        <f>ISTEXT('Proyecto Datos (OKR´s)'!$K149)</f>
      </c>
      <c r="C149" s="201">
        <f>AND(LEN('Proyecto Datos (OKR´s)'!$G149)&gt;0,NOT($B149),OR(ISNUMBER('Proyecto Datos (OKR´s)'!$F149),ISNUMBER('Proyecto Datos (OKR´s)'!$L149)))</f>
      </c>
      <c r="D149" s="202">
        <f>IF($C149,IFERROR(LOOKUP(2,1/((ISTEXT('Proyecto Datos (OKR´s)'!$K$7:$K149))*(LEN('Proyecto Datos (OKR´s)'!$G$7:$G149)&gt;0)),'Proyecto Datos (OKR´s)'!$G$7:$G149),""),"")</f>
      </c>
      <c r="E149" s="201">
        <f>IF($C149,'Proyecto Datos (OKR´s)'!$E149,"")</f>
      </c>
      <c r="F149" s="202">
        <f>IF($C149,'Proyecto Datos (OKR´s)'!$G149,"")</f>
      </c>
      <c r="G149" s="202">
        <f>IF($C149,IF('Proyecto Datos (OKR´s)'!$I149="","(Sin asignar)",'Proyecto Datos (OKR´s)'!$I149),"")</f>
      </c>
      <c r="H149" s="201">
        <f>IF($C149,IF(ISNUMBER('Proyecto Datos (OKR´s)'!$F149),'Proyecto Datos (OKR´s)'!$F149,'Proyecto Datos (OKR´s)'!$L149),"")</f>
      </c>
      <c r="I149" s="201">
        <f>IF($C149,'Proyecto Datos (OKR´s)'!$J149,"")</f>
      </c>
      <c r="J149" s="202">
        <f>IF($C149,IF($I149&gt;=1,"Completado",IF($H149&lt;TODAY(),"Vencido",IF(($H149-TODAY())&lt;='Entregas Próximas'!$M$3,"Próximo a vencer","En curso"))),"")</f>
      </c>
      <c r="K149" s="201">
        <f>IF($C149,$H149-TODAY(),"")</f>
      </c>
      <c r="L149" s="201">
        <f>IF($C149,$AD149*1000000+$H149+ROW()/100000,"")</f>
      </c>
      <c r="M149" s="201">
        <f>IF($C149,IF($AD149=9999,"(Sin sprint)",$AD149),"")</f>
      </c>
      <c r="N149" s="201">
        <f>IF($C149,IF('Proyecto Datos (OKR´s)'!$E149="",9999,'Proyecto Datos (OKR´s)'!$E149),"")</f>
      </c>
      <c r="O149" s="201">
        <f>IF($C149,"T"&amp;TEXT(ROW(),"000"),"")</f>
      </c>
      <c r="R149" s="201">
        <f>IF($C149,IF(ISNUMBER('Proyecto Datos (OKR´s)'!$L149),'Proyecto Datos (OKR´s)'!$L149,$H149),"")</f>
      </c>
      <c r="S149" s="201">
        <f>IF($C149,$R149-'Proyecto Datos (OKR´s)'!$K149+1,"")</f>
      </c>
      <c r="T149" s="201">
        <f>IF($C149,MAX(0,TODAY()-'Proyecto Datos (OKR´s)'!$K149),"")</f>
      </c>
      <c r="U149" s="201">
        <f>IF($C149,MEDIAN(0,(TODAY()-'Proyecto Datos (OKR´s)'!$K149)/MAX(1,$R149-'Proyecto Datos (OKR´s)'!$K149),1),"")</f>
      </c>
      <c r="V149" s="201">
        <f>IF($C149,$I149-$U149,"")</f>
      </c>
      <c r="W149" s="201">
        <f>IF($C149,IF($J149="Completado",0,MAX(0,TODAY()-$H149)),"")</f>
      </c>
      <c r="X149" s="201">
        <f>IF($C149,IF(ISNUMBER($H149),$R149-$H149,0),"")</f>
      </c>
      <c r="Y149" s="201">
        <f>IF($C149,COUNTIFS($G$7:$G$200,$G149,$J$7:$J$200,"&lt;&gt;Completado",$J$7:$J$200,"&lt;&gt;"),"")</f>
      </c>
      <c r="Z149" s="201">
        <f>IF($C149,AND($I149=0,'Proyecto Datos (OKR´s)'!$K149&lt;=TODAY(),$J149&lt;&gt;"Completado"),"")</f>
      </c>
      <c r="AA149" s="201">
        <f>IF($C149,ROUND(100*(0.35*$AK149+0.3*$AL149+0.2*$AM149+0.15*MEDIAN(0,($Y149-4)/8,1)),0),"")</f>
      </c>
      <c r="AB149" s="202">
        <f>IF($C149,IF($J149="Completado","—",IF($AA149&gt;=70,"Crítica",IF($AA149&gt;=45,"Alta",IF($AA149&gt;=25,"Media","Baja")))),"")</f>
      </c>
      <c r="AC149" s="202">
        <f>IF($C149,IF(LEN(TRIM($AN149))=0,"—",TRIM($AN149)),"")</f>
      </c>
      <c r="AD149" s="201">
        <f>IF($C149,IF($N149=9999,9999,IF($J149="Completado",$N149,MAX($N149,'Historial de Sprints'!$C$7))),"")</f>
      </c>
      <c r="AE149" s="201">
        <f>IF($C149,IF($AD149=9999,"(Sin sprint)",$AD149),"")</f>
      </c>
      <c r="AF149" s="201">
        <f>IF($C149,AND($N149&lt;&gt;9999,$AD149&lt;&gt;$N149),FALSE)</f>
      </c>
      <c r="AG149" s="201">
        <f>IF($AF149,'Historial de Sprints'!$C$5+$N149*'Historial de Sprints'!$C$6-1,"")</f>
      </c>
      <c r="AH149" s="202">
        <f>IF($AF149,"No completada al cierre del Sprint "&amp;$N149&amp;" -&gt; reasignada al Sprint "&amp;$AD149,"")</f>
      </c>
      <c r="AI149" s="201">
        <f>IF($AF149,$N149*100000+ROW(),"")</f>
      </c>
      <c r="AJ149" s="201">
        <f>IF($C149,$AA149*1000000-MEDIAN(-9999,$K149,9999)*100+(300-ROW()),"")</f>
      </c>
      <c r="AK149" s="201">
        <f>IF($C149,IF($J149="Completado",0,IF($K149&lt;0,1,IF($K149&lt;=3,0.9,IF($K149&lt;=7,0.7,IF($K149&lt;=14,0.45,0.2))))),"")</f>
      </c>
      <c r="AL149" s="201">
        <f>IF($C149,IF($J149="Completado",0,MEDIAN(0,MAX(-$V149,$W149/30),1)),"")</f>
      </c>
      <c r="AM149" s="201">
        <f>IF($C149,IF($J149="Completado",0,IF($Z149,1,IF(AND($I149&lt;0.5,$K149&lt;=7),0.7,0.3))),"")</f>
      </c>
      <c r="AN149" s="202">
        <f>IF($C149,IF(OR($V149&lt;-0.2,$W149&gt;0),"ATRASO ","")&amp;IF($Z149,"BLOQUEO ","")&amp;IF($Y149&gt;8,"SOBRECARGA ","")&amp;IF($X149&gt;0,"DESVÍO-PLAN ",""),"")</f>
      </c>
    </row>
    <row r="150">
      <c r="A150" s="201">
        <f>ROW()</f>
      </c>
      <c r="B150" s="201">
        <f>ISTEXT('Proyecto Datos (OKR´s)'!$K150)</f>
      </c>
      <c r="C150" s="201">
        <f>AND(LEN('Proyecto Datos (OKR´s)'!$G150)&gt;0,NOT($B150),OR(ISNUMBER('Proyecto Datos (OKR´s)'!$F150),ISNUMBER('Proyecto Datos (OKR´s)'!$L150)))</f>
      </c>
      <c r="D150" s="202">
        <f>IF($C150,IFERROR(LOOKUP(2,1/((ISTEXT('Proyecto Datos (OKR´s)'!$K$7:$K150))*(LEN('Proyecto Datos (OKR´s)'!$G$7:$G150)&gt;0)),'Proyecto Datos (OKR´s)'!$G$7:$G150),""),"")</f>
      </c>
      <c r="E150" s="201">
        <f>IF($C150,'Proyecto Datos (OKR´s)'!$E150,"")</f>
      </c>
      <c r="F150" s="202">
        <f>IF($C150,'Proyecto Datos (OKR´s)'!$G150,"")</f>
      </c>
      <c r="G150" s="202">
        <f>IF($C150,IF('Proyecto Datos (OKR´s)'!$I150="","(Sin asignar)",'Proyecto Datos (OKR´s)'!$I150),"")</f>
      </c>
      <c r="H150" s="201">
        <f>IF($C150,IF(ISNUMBER('Proyecto Datos (OKR´s)'!$F150),'Proyecto Datos (OKR´s)'!$F150,'Proyecto Datos (OKR´s)'!$L150),"")</f>
      </c>
      <c r="I150" s="201">
        <f>IF($C150,'Proyecto Datos (OKR´s)'!$J150,"")</f>
      </c>
      <c r="J150" s="202">
        <f>IF($C150,IF($I150&gt;=1,"Completado",IF($H150&lt;TODAY(),"Vencido",IF(($H150-TODAY())&lt;='Entregas Próximas'!$M$3,"Próximo a vencer","En curso"))),"")</f>
      </c>
      <c r="K150" s="201">
        <f>IF($C150,$H150-TODAY(),"")</f>
      </c>
      <c r="L150" s="201">
        <f>IF($C150,$AD150*1000000+$H150+ROW()/100000,"")</f>
      </c>
      <c r="M150" s="201">
        <f>IF($C150,IF($AD150=9999,"(Sin sprint)",$AD150),"")</f>
      </c>
      <c r="N150" s="201">
        <f>IF($C150,IF('Proyecto Datos (OKR´s)'!$E150="",9999,'Proyecto Datos (OKR´s)'!$E150),"")</f>
      </c>
      <c r="O150" s="201">
        <f>IF($C150,"T"&amp;TEXT(ROW(),"000"),"")</f>
      </c>
      <c r="R150" s="201">
        <f>IF($C150,IF(ISNUMBER('Proyecto Datos (OKR´s)'!$L150),'Proyecto Datos (OKR´s)'!$L150,$H150),"")</f>
      </c>
      <c r="S150" s="201">
        <f>IF($C150,$R150-'Proyecto Datos (OKR´s)'!$K150+1,"")</f>
      </c>
      <c r="T150" s="201">
        <f>IF($C150,MAX(0,TODAY()-'Proyecto Datos (OKR´s)'!$K150),"")</f>
      </c>
      <c r="U150" s="201">
        <f>IF($C150,MEDIAN(0,(TODAY()-'Proyecto Datos (OKR´s)'!$K150)/MAX(1,$R150-'Proyecto Datos (OKR´s)'!$K150),1),"")</f>
      </c>
      <c r="V150" s="201">
        <f>IF($C150,$I150-$U150,"")</f>
      </c>
      <c r="W150" s="201">
        <f>IF($C150,IF($J150="Completado",0,MAX(0,TODAY()-$H150)),"")</f>
      </c>
      <c r="X150" s="201">
        <f>IF($C150,IF(ISNUMBER($H150),$R150-$H150,0),"")</f>
      </c>
      <c r="Y150" s="201">
        <f>IF($C150,COUNTIFS($G$7:$G$200,$G150,$J$7:$J$200,"&lt;&gt;Completado",$J$7:$J$200,"&lt;&gt;"),"")</f>
      </c>
      <c r="Z150" s="201">
        <f>IF($C150,AND($I150=0,'Proyecto Datos (OKR´s)'!$K150&lt;=TODAY(),$J150&lt;&gt;"Completado"),"")</f>
      </c>
      <c r="AA150" s="201">
        <f>IF($C150,ROUND(100*(0.35*$AK150+0.3*$AL150+0.2*$AM150+0.15*MEDIAN(0,($Y150-4)/8,1)),0),"")</f>
      </c>
      <c r="AB150" s="202">
        <f>IF($C150,IF($J150="Completado","—",IF($AA150&gt;=70,"Crítica",IF($AA150&gt;=45,"Alta",IF($AA150&gt;=25,"Media","Baja")))),"")</f>
      </c>
      <c r="AC150" s="202">
        <f>IF($C150,IF(LEN(TRIM($AN150))=0,"—",TRIM($AN150)),"")</f>
      </c>
      <c r="AD150" s="201">
        <f>IF($C150,IF($N150=9999,9999,IF($J150="Completado",$N150,MAX($N150,'Historial de Sprints'!$C$7))),"")</f>
      </c>
      <c r="AE150" s="201">
        <f>IF($C150,IF($AD150=9999,"(Sin sprint)",$AD150),"")</f>
      </c>
      <c r="AF150" s="201">
        <f>IF($C150,AND($N150&lt;&gt;9999,$AD150&lt;&gt;$N150),FALSE)</f>
      </c>
      <c r="AG150" s="201">
        <f>IF($AF150,'Historial de Sprints'!$C$5+$N150*'Historial de Sprints'!$C$6-1,"")</f>
      </c>
      <c r="AH150" s="202">
        <f>IF($AF150,"No completada al cierre del Sprint "&amp;$N150&amp;" -&gt; reasignada al Sprint "&amp;$AD150,"")</f>
      </c>
      <c r="AI150" s="201">
        <f>IF($AF150,$N150*100000+ROW(),"")</f>
      </c>
      <c r="AJ150" s="201">
        <f>IF($C150,$AA150*1000000-MEDIAN(-9999,$K150,9999)*100+(300-ROW()),"")</f>
      </c>
      <c r="AK150" s="201">
        <f>IF($C150,IF($J150="Completado",0,IF($K150&lt;0,1,IF($K150&lt;=3,0.9,IF($K150&lt;=7,0.7,IF($K150&lt;=14,0.45,0.2))))),"")</f>
      </c>
      <c r="AL150" s="201">
        <f>IF($C150,IF($J150="Completado",0,MEDIAN(0,MAX(-$V150,$W150/30),1)),"")</f>
      </c>
      <c r="AM150" s="201">
        <f>IF($C150,IF($J150="Completado",0,IF($Z150,1,IF(AND($I150&lt;0.5,$K150&lt;=7),0.7,0.3))),"")</f>
      </c>
      <c r="AN150" s="202">
        <f>IF($C150,IF(OR($V150&lt;-0.2,$W150&gt;0),"ATRASO ","")&amp;IF($Z150,"BLOQUEO ","")&amp;IF($Y150&gt;8,"SOBRECARGA ","")&amp;IF($X150&gt;0,"DESVÍO-PLAN ",""),"")</f>
      </c>
    </row>
    <row r="151">
      <c r="A151" s="201">
        <f>ROW()</f>
      </c>
      <c r="B151" s="201">
        <f>ISTEXT('Proyecto Datos (OKR´s)'!$K151)</f>
      </c>
      <c r="C151" s="201">
        <f>AND(LEN('Proyecto Datos (OKR´s)'!$G151)&gt;0,NOT($B151),OR(ISNUMBER('Proyecto Datos (OKR´s)'!$F151),ISNUMBER('Proyecto Datos (OKR´s)'!$L151)))</f>
      </c>
      <c r="D151" s="202">
        <f>IF($C151,IFERROR(LOOKUP(2,1/((ISTEXT('Proyecto Datos (OKR´s)'!$K$7:$K151))*(LEN('Proyecto Datos (OKR´s)'!$G$7:$G151)&gt;0)),'Proyecto Datos (OKR´s)'!$G$7:$G151),""),"")</f>
      </c>
      <c r="E151" s="201">
        <f>IF($C151,'Proyecto Datos (OKR´s)'!$E151,"")</f>
      </c>
      <c r="F151" s="202">
        <f>IF($C151,'Proyecto Datos (OKR´s)'!$G151,"")</f>
      </c>
      <c r="G151" s="202">
        <f>IF($C151,IF('Proyecto Datos (OKR´s)'!$I151="","(Sin asignar)",'Proyecto Datos (OKR´s)'!$I151),"")</f>
      </c>
      <c r="H151" s="201">
        <f>IF($C151,IF(ISNUMBER('Proyecto Datos (OKR´s)'!$F151),'Proyecto Datos (OKR´s)'!$F151,'Proyecto Datos (OKR´s)'!$L151),"")</f>
      </c>
      <c r="I151" s="201">
        <f>IF($C151,'Proyecto Datos (OKR´s)'!$J151,"")</f>
      </c>
      <c r="J151" s="202">
        <f>IF($C151,IF($I151&gt;=1,"Completado",IF($H151&lt;TODAY(),"Vencido",IF(($H151-TODAY())&lt;='Entregas Próximas'!$M$3,"Próximo a vencer","En curso"))),"")</f>
      </c>
      <c r="K151" s="201">
        <f>IF($C151,$H151-TODAY(),"")</f>
      </c>
      <c r="L151" s="201">
        <f>IF($C151,$AD151*1000000+$H151+ROW()/100000,"")</f>
      </c>
      <c r="M151" s="201">
        <f>IF($C151,IF($AD151=9999,"(Sin sprint)",$AD151),"")</f>
      </c>
      <c r="N151" s="201">
        <f>IF($C151,IF('Proyecto Datos (OKR´s)'!$E151="",9999,'Proyecto Datos (OKR´s)'!$E151),"")</f>
      </c>
      <c r="O151" s="201">
        <f>IF($C151,"T"&amp;TEXT(ROW(),"000"),"")</f>
      </c>
      <c r="R151" s="201">
        <f>IF($C151,IF(ISNUMBER('Proyecto Datos (OKR´s)'!$L151),'Proyecto Datos (OKR´s)'!$L151,$H151),"")</f>
      </c>
      <c r="S151" s="201">
        <f>IF($C151,$R151-'Proyecto Datos (OKR´s)'!$K151+1,"")</f>
      </c>
      <c r="T151" s="201">
        <f>IF($C151,MAX(0,TODAY()-'Proyecto Datos (OKR´s)'!$K151),"")</f>
      </c>
      <c r="U151" s="201">
        <f>IF($C151,MEDIAN(0,(TODAY()-'Proyecto Datos (OKR´s)'!$K151)/MAX(1,$R151-'Proyecto Datos (OKR´s)'!$K151),1),"")</f>
      </c>
      <c r="V151" s="201">
        <f>IF($C151,$I151-$U151,"")</f>
      </c>
      <c r="W151" s="201">
        <f>IF($C151,IF($J151="Completado",0,MAX(0,TODAY()-$H151)),"")</f>
      </c>
      <c r="X151" s="201">
        <f>IF($C151,IF(ISNUMBER($H151),$R151-$H151,0),"")</f>
      </c>
      <c r="Y151" s="201">
        <f>IF($C151,COUNTIFS($G$7:$G$200,$G151,$J$7:$J$200,"&lt;&gt;Completado",$J$7:$J$200,"&lt;&gt;"),"")</f>
      </c>
      <c r="Z151" s="201">
        <f>IF($C151,AND($I151=0,'Proyecto Datos (OKR´s)'!$K151&lt;=TODAY(),$J151&lt;&gt;"Completado"),"")</f>
      </c>
      <c r="AA151" s="201">
        <f>IF($C151,ROUND(100*(0.35*$AK151+0.3*$AL151+0.2*$AM151+0.15*MEDIAN(0,($Y151-4)/8,1)),0),"")</f>
      </c>
      <c r="AB151" s="202">
        <f>IF($C151,IF($J151="Completado","—",IF($AA151&gt;=70,"Crítica",IF($AA151&gt;=45,"Alta",IF($AA151&gt;=25,"Media","Baja")))),"")</f>
      </c>
      <c r="AC151" s="202">
        <f>IF($C151,IF(LEN(TRIM($AN151))=0,"—",TRIM($AN151)),"")</f>
      </c>
      <c r="AD151" s="201">
        <f>IF($C151,IF($N151=9999,9999,IF($J151="Completado",$N151,MAX($N151,'Historial de Sprints'!$C$7))),"")</f>
      </c>
      <c r="AE151" s="201">
        <f>IF($C151,IF($AD151=9999,"(Sin sprint)",$AD151),"")</f>
      </c>
      <c r="AF151" s="201">
        <f>IF($C151,AND($N151&lt;&gt;9999,$AD151&lt;&gt;$N151),FALSE)</f>
      </c>
      <c r="AG151" s="201">
        <f>IF($AF151,'Historial de Sprints'!$C$5+$N151*'Historial de Sprints'!$C$6-1,"")</f>
      </c>
      <c r="AH151" s="202">
        <f>IF($AF151,"No completada al cierre del Sprint "&amp;$N151&amp;" -&gt; reasignada al Sprint "&amp;$AD151,"")</f>
      </c>
      <c r="AI151" s="201">
        <f>IF($AF151,$N151*100000+ROW(),"")</f>
      </c>
      <c r="AJ151" s="201">
        <f>IF($C151,$AA151*1000000-MEDIAN(-9999,$K151,9999)*100+(300-ROW()),"")</f>
      </c>
      <c r="AK151" s="201">
        <f>IF($C151,IF($J151="Completado",0,IF($K151&lt;0,1,IF($K151&lt;=3,0.9,IF($K151&lt;=7,0.7,IF($K151&lt;=14,0.45,0.2))))),"")</f>
      </c>
      <c r="AL151" s="201">
        <f>IF($C151,IF($J151="Completado",0,MEDIAN(0,MAX(-$V151,$W151/30),1)),"")</f>
      </c>
      <c r="AM151" s="201">
        <f>IF($C151,IF($J151="Completado",0,IF($Z151,1,IF(AND($I151&lt;0.5,$K151&lt;=7),0.7,0.3))),"")</f>
      </c>
      <c r="AN151" s="202">
        <f>IF($C151,IF(OR($V151&lt;-0.2,$W151&gt;0),"ATRASO ","")&amp;IF($Z151,"BLOQUEO ","")&amp;IF($Y151&gt;8,"SOBRECARGA ","")&amp;IF($X151&gt;0,"DESVÍO-PLAN ",""),"")</f>
      </c>
    </row>
    <row r="152">
      <c r="A152" s="201">
        <f>ROW()</f>
      </c>
      <c r="B152" s="201">
        <f>ISTEXT('Proyecto Datos (OKR´s)'!$K152)</f>
      </c>
      <c r="C152" s="201">
        <f>AND(LEN('Proyecto Datos (OKR´s)'!$G152)&gt;0,NOT($B152),OR(ISNUMBER('Proyecto Datos (OKR´s)'!$F152),ISNUMBER('Proyecto Datos (OKR´s)'!$L152)))</f>
      </c>
      <c r="D152" s="202">
        <f>IF($C152,IFERROR(LOOKUP(2,1/((ISTEXT('Proyecto Datos (OKR´s)'!$K$7:$K152))*(LEN('Proyecto Datos (OKR´s)'!$G$7:$G152)&gt;0)),'Proyecto Datos (OKR´s)'!$G$7:$G152),""),"")</f>
      </c>
      <c r="E152" s="201">
        <f>IF($C152,'Proyecto Datos (OKR´s)'!$E152,"")</f>
      </c>
      <c r="F152" s="202">
        <f>IF($C152,'Proyecto Datos (OKR´s)'!$G152,"")</f>
      </c>
      <c r="G152" s="202">
        <f>IF($C152,IF('Proyecto Datos (OKR´s)'!$I152="","(Sin asignar)",'Proyecto Datos (OKR´s)'!$I152),"")</f>
      </c>
      <c r="H152" s="201">
        <f>IF($C152,IF(ISNUMBER('Proyecto Datos (OKR´s)'!$F152),'Proyecto Datos (OKR´s)'!$F152,'Proyecto Datos (OKR´s)'!$L152),"")</f>
      </c>
      <c r="I152" s="201">
        <f>IF($C152,'Proyecto Datos (OKR´s)'!$J152,"")</f>
      </c>
      <c r="J152" s="202">
        <f>IF($C152,IF($I152&gt;=1,"Completado",IF($H152&lt;TODAY(),"Vencido",IF(($H152-TODAY())&lt;='Entregas Próximas'!$M$3,"Próximo a vencer","En curso"))),"")</f>
      </c>
      <c r="K152" s="201">
        <f>IF($C152,$H152-TODAY(),"")</f>
      </c>
      <c r="L152" s="201">
        <f>IF($C152,$AD152*1000000+$H152+ROW()/100000,"")</f>
      </c>
      <c r="M152" s="201">
        <f>IF($C152,IF($AD152=9999,"(Sin sprint)",$AD152),"")</f>
      </c>
      <c r="N152" s="201">
        <f>IF($C152,IF('Proyecto Datos (OKR´s)'!$E152="",9999,'Proyecto Datos (OKR´s)'!$E152),"")</f>
      </c>
      <c r="O152" s="201">
        <f>IF($C152,"T"&amp;TEXT(ROW(),"000"),"")</f>
      </c>
      <c r="R152" s="201">
        <f>IF($C152,IF(ISNUMBER('Proyecto Datos (OKR´s)'!$L152),'Proyecto Datos (OKR´s)'!$L152,$H152),"")</f>
      </c>
      <c r="S152" s="201">
        <f>IF($C152,$R152-'Proyecto Datos (OKR´s)'!$K152+1,"")</f>
      </c>
      <c r="T152" s="201">
        <f>IF($C152,MAX(0,TODAY()-'Proyecto Datos (OKR´s)'!$K152),"")</f>
      </c>
      <c r="U152" s="201">
        <f>IF($C152,MEDIAN(0,(TODAY()-'Proyecto Datos (OKR´s)'!$K152)/MAX(1,$R152-'Proyecto Datos (OKR´s)'!$K152),1),"")</f>
      </c>
      <c r="V152" s="201">
        <f>IF($C152,$I152-$U152,"")</f>
      </c>
      <c r="W152" s="201">
        <f>IF($C152,IF($J152="Completado",0,MAX(0,TODAY()-$H152)),"")</f>
      </c>
      <c r="X152" s="201">
        <f>IF($C152,IF(ISNUMBER($H152),$R152-$H152,0),"")</f>
      </c>
      <c r="Y152" s="201">
        <f>IF($C152,COUNTIFS($G$7:$G$200,$G152,$J$7:$J$200,"&lt;&gt;Completado",$J$7:$J$200,"&lt;&gt;"),"")</f>
      </c>
      <c r="Z152" s="201">
        <f>IF($C152,AND($I152=0,'Proyecto Datos (OKR´s)'!$K152&lt;=TODAY(),$J152&lt;&gt;"Completado"),"")</f>
      </c>
      <c r="AA152" s="201">
        <f>IF($C152,ROUND(100*(0.35*$AK152+0.3*$AL152+0.2*$AM152+0.15*MEDIAN(0,($Y152-4)/8,1)),0),"")</f>
      </c>
      <c r="AB152" s="202">
        <f>IF($C152,IF($J152="Completado","—",IF($AA152&gt;=70,"Crítica",IF($AA152&gt;=45,"Alta",IF($AA152&gt;=25,"Media","Baja")))),"")</f>
      </c>
      <c r="AC152" s="202">
        <f>IF($C152,IF(LEN(TRIM($AN152))=0,"—",TRIM($AN152)),"")</f>
      </c>
      <c r="AD152" s="201">
        <f>IF($C152,IF($N152=9999,9999,IF($J152="Completado",$N152,MAX($N152,'Historial de Sprints'!$C$7))),"")</f>
      </c>
      <c r="AE152" s="201">
        <f>IF($C152,IF($AD152=9999,"(Sin sprint)",$AD152),"")</f>
      </c>
      <c r="AF152" s="201">
        <f>IF($C152,AND($N152&lt;&gt;9999,$AD152&lt;&gt;$N152),FALSE)</f>
      </c>
      <c r="AG152" s="201">
        <f>IF($AF152,'Historial de Sprints'!$C$5+$N152*'Historial de Sprints'!$C$6-1,"")</f>
      </c>
      <c r="AH152" s="202">
        <f>IF($AF152,"No completada al cierre del Sprint "&amp;$N152&amp;" -&gt; reasignada al Sprint "&amp;$AD152,"")</f>
      </c>
      <c r="AI152" s="201">
        <f>IF($AF152,$N152*100000+ROW(),"")</f>
      </c>
      <c r="AJ152" s="201">
        <f>IF($C152,$AA152*1000000-MEDIAN(-9999,$K152,9999)*100+(300-ROW()),"")</f>
      </c>
      <c r="AK152" s="201">
        <f>IF($C152,IF($J152="Completado",0,IF($K152&lt;0,1,IF($K152&lt;=3,0.9,IF($K152&lt;=7,0.7,IF($K152&lt;=14,0.45,0.2))))),"")</f>
      </c>
      <c r="AL152" s="201">
        <f>IF($C152,IF($J152="Completado",0,MEDIAN(0,MAX(-$V152,$W152/30),1)),"")</f>
      </c>
      <c r="AM152" s="201">
        <f>IF($C152,IF($J152="Completado",0,IF($Z152,1,IF(AND($I152&lt;0.5,$K152&lt;=7),0.7,0.3))),"")</f>
      </c>
      <c r="AN152" s="202">
        <f>IF($C152,IF(OR($V152&lt;-0.2,$W152&gt;0),"ATRASO ","")&amp;IF($Z152,"BLOQUEO ","")&amp;IF($Y152&gt;8,"SOBRECARGA ","")&amp;IF($X152&gt;0,"DESVÍO-PLAN ",""),"")</f>
      </c>
    </row>
    <row r="153">
      <c r="A153" s="201">
        <f>ROW()</f>
      </c>
      <c r="B153" s="201">
        <f>ISTEXT('Proyecto Datos (OKR´s)'!$K153)</f>
      </c>
      <c r="C153" s="201">
        <f>AND(LEN('Proyecto Datos (OKR´s)'!$G153)&gt;0,NOT($B153),OR(ISNUMBER('Proyecto Datos (OKR´s)'!$F153),ISNUMBER('Proyecto Datos (OKR´s)'!$L153)))</f>
      </c>
      <c r="D153" s="202">
        <f>IF($C153,IFERROR(LOOKUP(2,1/((ISTEXT('Proyecto Datos (OKR´s)'!$K$7:$K153))*(LEN('Proyecto Datos (OKR´s)'!$G$7:$G153)&gt;0)),'Proyecto Datos (OKR´s)'!$G$7:$G153),""),"")</f>
      </c>
      <c r="E153" s="201">
        <f>IF($C153,'Proyecto Datos (OKR´s)'!$E153,"")</f>
      </c>
      <c r="F153" s="202">
        <f>IF($C153,'Proyecto Datos (OKR´s)'!$G153,"")</f>
      </c>
      <c r="G153" s="202">
        <f>IF($C153,IF('Proyecto Datos (OKR´s)'!$I153="","(Sin asignar)",'Proyecto Datos (OKR´s)'!$I153),"")</f>
      </c>
      <c r="H153" s="201">
        <f>IF($C153,IF(ISNUMBER('Proyecto Datos (OKR´s)'!$F153),'Proyecto Datos (OKR´s)'!$F153,'Proyecto Datos (OKR´s)'!$L153),"")</f>
      </c>
      <c r="I153" s="201">
        <f>IF($C153,'Proyecto Datos (OKR´s)'!$J153,"")</f>
      </c>
      <c r="J153" s="202">
        <f>IF($C153,IF($I153&gt;=1,"Completado",IF($H153&lt;TODAY(),"Vencido",IF(($H153-TODAY())&lt;='Entregas Próximas'!$M$3,"Próximo a vencer","En curso"))),"")</f>
      </c>
      <c r="K153" s="201">
        <f>IF($C153,$H153-TODAY(),"")</f>
      </c>
      <c r="L153" s="201">
        <f>IF($C153,$AD153*1000000+$H153+ROW()/100000,"")</f>
      </c>
      <c r="M153" s="201">
        <f>IF($C153,IF($AD153=9999,"(Sin sprint)",$AD153),"")</f>
      </c>
      <c r="N153" s="201">
        <f>IF($C153,IF('Proyecto Datos (OKR´s)'!$E153="",9999,'Proyecto Datos (OKR´s)'!$E153),"")</f>
      </c>
      <c r="O153" s="201">
        <f>IF($C153,"T"&amp;TEXT(ROW(),"000"),"")</f>
      </c>
      <c r="R153" s="201">
        <f>IF($C153,IF(ISNUMBER('Proyecto Datos (OKR´s)'!$L153),'Proyecto Datos (OKR´s)'!$L153,$H153),"")</f>
      </c>
      <c r="S153" s="201">
        <f>IF($C153,$R153-'Proyecto Datos (OKR´s)'!$K153+1,"")</f>
      </c>
      <c r="T153" s="201">
        <f>IF($C153,MAX(0,TODAY()-'Proyecto Datos (OKR´s)'!$K153),"")</f>
      </c>
      <c r="U153" s="201">
        <f>IF($C153,MEDIAN(0,(TODAY()-'Proyecto Datos (OKR´s)'!$K153)/MAX(1,$R153-'Proyecto Datos (OKR´s)'!$K153),1),"")</f>
      </c>
      <c r="V153" s="201">
        <f>IF($C153,$I153-$U153,"")</f>
      </c>
      <c r="W153" s="201">
        <f>IF($C153,IF($J153="Completado",0,MAX(0,TODAY()-$H153)),"")</f>
      </c>
      <c r="X153" s="201">
        <f>IF($C153,IF(ISNUMBER($H153),$R153-$H153,0),"")</f>
      </c>
      <c r="Y153" s="201">
        <f>IF($C153,COUNTIFS($G$7:$G$200,$G153,$J$7:$J$200,"&lt;&gt;Completado",$J$7:$J$200,"&lt;&gt;"),"")</f>
      </c>
      <c r="Z153" s="201">
        <f>IF($C153,AND($I153=0,'Proyecto Datos (OKR´s)'!$K153&lt;=TODAY(),$J153&lt;&gt;"Completado"),"")</f>
      </c>
      <c r="AA153" s="201">
        <f>IF($C153,ROUND(100*(0.35*$AK153+0.3*$AL153+0.2*$AM153+0.15*MEDIAN(0,($Y153-4)/8,1)),0),"")</f>
      </c>
      <c r="AB153" s="202">
        <f>IF($C153,IF($J153="Completado","—",IF($AA153&gt;=70,"Crítica",IF($AA153&gt;=45,"Alta",IF($AA153&gt;=25,"Media","Baja")))),"")</f>
      </c>
      <c r="AC153" s="202">
        <f>IF($C153,IF(LEN(TRIM($AN153))=0,"—",TRIM($AN153)),"")</f>
      </c>
      <c r="AD153" s="201">
        <f>IF($C153,IF($N153=9999,9999,IF($J153="Completado",$N153,MAX($N153,'Historial de Sprints'!$C$7))),"")</f>
      </c>
      <c r="AE153" s="201">
        <f>IF($C153,IF($AD153=9999,"(Sin sprint)",$AD153),"")</f>
      </c>
      <c r="AF153" s="201">
        <f>IF($C153,AND($N153&lt;&gt;9999,$AD153&lt;&gt;$N153),FALSE)</f>
      </c>
      <c r="AG153" s="201">
        <f>IF($AF153,'Historial de Sprints'!$C$5+$N153*'Historial de Sprints'!$C$6-1,"")</f>
      </c>
      <c r="AH153" s="202">
        <f>IF($AF153,"No completada al cierre del Sprint "&amp;$N153&amp;" -&gt; reasignada al Sprint "&amp;$AD153,"")</f>
      </c>
      <c r="AI153" s="201">
        <f>IF($AF153,$N153*100000+ROW(),"")</f>
      </c>
      <c r="AJ153" s="201">
        <f>IF($C153,$AA153*1000000-MEDIAN(-9999,$K153,9999)*100+(300-ROW()),"")</f>
      </c>
      <c r="AK153" s="201">
        <f>IF($C153,IF($J153="Completado",0,IF($K153&lt;0,1,IF($K153&lt;=3,0.9,IF($K153&lt;=7,0.7,IF($K153&lt;=14,0.45,0.2))))),"")</f>
      </c>
      <c r="AL153" s="201">
        <f>IF($C153,IF($J153="Completado",0,MEDIAN(0,MAX(-$V153,$W153/30),1)),"")</f>
      </c>
      <c r="AM153" s="201">
        <f>IF($C153,IF($J153="Completado",0,IF($Z153,1,IF(AND($I153&lt;0.5,$K153&lt;=7),0.7,0.3))),"")</f>
      </c>
      <c r="AN153" s="202">
        <f>IF($C153,IF(OR($V153&lt;-0.2,$W153&gt;0),"ATRASO ","")&amp;IF($Z153,"BLOQUEO ","")&amp;IF($Y153&gt;8,"SOBRECARGA ","")&amp;IF($X153&gt;0,"DESVÍO-PLAN ",""),"")</f>
      </c>
    </row>
    <row r="154">
      <c r="A154" s="201">
        <f>ROW()</f>
      </c>
      <c r="B154" s="201">
        <f>ISTEXT('Proyecto Datos (OKR´s)'!$K154)</f>
      </c>
      <c r="C154" s="201">
        <f>AND(LEN('Proyecto Datos (OKR´s)'!$G154)&gt;0,NOT($B154),OR(ISNUMBER('Proyecto Datos (OKR´s)'!$F154),ISNUMBER('Proyecto Datos (OKR´s)'!$L154)))</f>
      </c>
      <c r="D154" s="202">
        <f>IF($C154,IFERROR(LOOKUP(2,1/((ISTEXT('Proyecto Datos (OKR´s)'!$K$7:$K154))*(LEN('Proyecto Datos (OKR´s)'!$G$7:$G154)&gt;0)),'Proyecto Datos (OKR´s)'!$G$7:$G154),""),"")</f>
      </c>
      <c r="E154" s="201">
        <f>IF($C154,'Proyecto Datos (OKR´s)'!$E154,"")</f>
      </c>
      <c r="F154" s="202">
        <f>IF($C154,'Proyecto Datos (OKR´s)'!$G154,"")</f>
      </c>
      <c r="G154" s="202">
        <f>IF($C154,IF('Proyecto Datos (OKR´s)'!$I154="","(Sin asignar)",'Proyecto Datos (OKR´s)'!$I154),"")</f>
      </c>
      <c r="H154" s="201">
        <f>IF($C154,IF(ISNUMBER('Proyecto Datos (OKR´s)'!$F154),'Proyecto Datos (OKR´s)'!$F154,'Proyecto Datos (OKR´s)'!$L154),"")</f>
      </c>
      <c r="I154" s="201">
        <f>IF($C154,'Proyecto Datos (OKR´s)'!$J154,"")</f>
      </c>
      <c r="J154" s="202">
        <f>IF($C154,IF($I154&gt;=1,"Completado",IF($H154&lt;TODAY(),"Vencido",IF(($H154-TODAY())&lt;='Entregas Próximas'!$M$3,"Próximo a vencer","En curso"))),"")</f>
      </c>
      <c r="K154" s="201">
        <f>IF($C154,$H154-TODAY(),"")</f>
      </c>
      <c r="L154" s="201">
        <f>IF($C154,$AD154*1000000+$H154+ROW()/100000,"")</f>
      </c>
      <c r="M154" s="201">
        <f>IF($C154,IF($AD154=9999,"(Sin sprint)",$AD154),"")</f>
      </c>
      <c r="N154" s="201">
        <f>IF($C154,IF('Proyecto Datos (OKR´s)'!$E154="",9999,'Proyecto Datos (OKR´s)'!$E154),"")</f>
      </c>
      <c r="O154" s="201">
        <f>IF($C154,"T"&amp;TEXT(ROW(),"000"),"")</f>
      </c>
      <c r="R154" s="201">
        <f>IF($C154,IF(ISNUMBER('Proyecto Datos (OKR´s)'!$L154),'Proyecto Datos (OKR´s)'!$L154,$H154),"")</f>
      </c>
      <c r="S154" s="201">
        <f>IF($C154,$R154-'Proyecto Datos (OKR´s)'!$K154+1,"")</f>
      </c>
      <c r="T154" s="201">
        <f>IF($C154,MAX(0,TODAY()-'Proyecto Datos (OKR´s)'!$K154),"")</f>
      </c>
      <c r="U154" s="201">
        <f>IF($C154,MEDIAN(0,(TODAY()-'Proyecto Datos (OKR´s)'!$K154)/MAX(1,$R154-'Proyecto Datos (OKR´s)'!$K154),1),"")</f>
      </c>
      <c r="V154" s="201">
        <f>IF($C154,$I154-$U154,"")</f>
      </c>
      <c r="W154" s="201">
        <f>IF($C154,IF($J154="Completado",0,MAX(0,TODAY()-$H154)),"")</f>
      </c>
      <c r="X154" s="201">
        <f>IF($C154,IF(ISNUMBER($H154),$R154-$H154,0),"")</f>
      </c>
      <c r="Y154" s="201">
        <f>IF($C154,COUNTIFS($G$7:$G$200,$G154,$J$7:$J$200,"&lt;&gt;Completado",$J$7:$J$200,"&lt;&gt;"),"")</f>
      </c>
      <c r="Z154" s="201">
        <f>IF($C154,AND($I154=0,'Proyecto Datos (OKR´s)'!$K154&lt;=TODAY(),$J154&lt;&gt;"Completado"),"")</f>
      </c>
      <c r="AA154" s="201">
        <f>IF($C154,ROUND(100*(0.35*$AK154+0.3*$AL154+0.2*$AM154+0.15*MEDIAN(0,($Y154-4)/8,1)),0),"")</f>
      </c>
      <c r="AB154" s="202">
        <f>IF($C154,IF($J154="Completado","—",IF($AA154&gt;=70,"Crítica",IF($AA154&gt;=45,"Alta",IF($AA154&gt;=25,"Media","Baja")))),"")</f>
      </c>
      <c r="AC154" s="202">
        <f>IF($C154,IF(LEN(TRIM($AN154))=0,"—",TRIM($AN154)),"")</f>
      </c>
      <c r="AD154" s="201">
        <f>IF($C154,IF($N154=9999,9999,IF($J154="Completado",$N154,MAX($N154,'Historial de Sprints'!$C$7))),"")</f>
      </c>
      <c r="AE154" s="201">
        <f>IF($C154,IF($AD154=9999,"(Sin sprint)",$AD154),"")</f>
      </c>
      <c r="AF154" s="201">
        <f>IF($C154,AND($N154&lt;&gt;9999,$AD154&lt;&gt;$N154),FALSE)</f>
      </c>
      <c r="AG154" s="201">
        <f>IF($AF154,'Historial de Sprints'!$C$5+$N154*'Historial de Sprints'!$C$6-1,"")</f>
      </c>
      <c r="AH154" s="202">
        <f>IF($AF154,"No completada al cierre del Sprint "&amp;$N154&amp;" -&gt; reasignada al Sprint "&amp;$AD154,"")</f>
      </c>
      <c r="AI154" s="201">
        <f>IF($AF154,$N154*100000+ROW(),"")</f>
      </c>
      <c r="AJ154" s="201">
        <f>IF($C154,$AA154*1000000-MEDIAN(-9999,$K154,9999)*100+(300-ROW()),"")</f>
      </c>
      <c r="AK154" s="201">
        <f>IF($C154,IF($J154="Completado",0,IF($K154&lt;0,1,IF($K154&lt;=3,0.9,IF($K154&lt;=7,0.7,IF($K154&lt;=14,0.45,0.2))))),"")</f>
      </c>
      <c r="AL154" s="201">
        <f>IF($C154,IF($J154="Completado",0,MEDIAN(0,MAX(-$V154,$W154/30),1)),"")</f>
      </c>
      <c r="AM154" s="201">
        <f>IF($C154,IF($J154="Completado",0,IF($Z154,1,IF(AND($I154&lt;0.5,$K154&lt;=7),0.7,0.3))),"")</f>
      </c>
      <c r="AN154" s="202">
        <f>IF($C154,IF(OR($V154&lt;-0.2,$W154&gt;0),"ATRASO ","")&amp;IF($Z154,"BLOQUEO ","")&amp;IF($Y154&gt;8,"SOBRECARGA ","")&amp;IF($X154&gt;0,"DESVÍO-PLAN ",""),"")</f>
      </c>
    </row>
    <row r="155">
      <c r="A155" s="201">
        <f>ROW()</f>
      </c>
      <c r="B155" s="201">
        <f>ISTEXT('Proyecto Datos (OKR´s)'!$K155)</f>
      </c>
      <c r="C155" s="201">
        <f>AND(LEN('Proyecto Datos (OKR´s)'!$G155)&gt;0,NOT($B155),OR(ISNUMBER('Proyecto Datos (OKR´s)'!$F155),ISNUMBER('Proyecto Datos (OKR´s)'!$L155)))</f>
      </c>
      <c r="D155" s="202">
        <f>IF($C155,IFERROR(LOOKUP(2,1/((ISTEXT('Proyecto Datos (OKR´s)'!$K$7:$K155))*(LEN('Proyecto Datos (OKR´s)'!$G$7:$G155)&gt;0)),'Proyecto Datos (OKR´s)'!$G$7:$G155),""),"")</f>
      </c>
      <c r="E155" s="201">
        <f>IF($C155,'Proyecto Datos (OKR´s)'!$E155,"")</f>
      </c>
      <c r="F155" s="202">
        <f>IF($C155,'Proyecto Datos (OKR´s)'!$G155,"")</f>
      </c>
      <c r="G155" s="202">
        <f>IF($C155,IF('Proyecto Datos (OKR´s)'!$I155="","(Sin asignar)",'Proyecto Datos (OKR´s)'!$I155),"")</f>
      </c>
      <c r="H155" s="201">
        <f>IF($C155,IF(ISNUMBER('Proyecto Datos (OKR´s)'!$F155),'Proyecto Datos (OKR´s)'!$F155,'Proyecto Datos (OKR´s)'!$L155),"")</f>
      </c>
      <c r="I155" s="201">
        <f>IF($C155,'Proyecto Datos (OKR´s)'!$J155,"")</f>
      </c>
      <c r="J155" s="202">
        <f>IF($C155,IF($I155&gt;=1,"Completado",IF($H155&lt;TODAY(),"Vencido",IF(($H155-TODAY())&lt;='Entregas Próximas'!$M$3,"Próximo a vencer","En curso"))),"")</f>
      </c>
      <c r="K155" s="201">
        <f>IF($C155,$H155-TODAY(),"")</f>
      </c>
      <c r="L155" s="201">
        <f>IF($C155,$AD155*1000000+$H155+ROW()/100000,"")</f>
      </c>
      <c r="M155" s="201">
        <f>IF($C155,IF($AD155=9999,"(Sin sprint)",$AD155),"")</f>
      </c>
      <c r="N155" s="201">
        <f>IF($C155,IF('Proyecto Datos (OKR´s)'!$E155="",9999,'Proyecto Datos (OKR´s)'!$E155),"")</f>
      </c>
      <c r="O155" s="201">
        <f>IF($C155,"T"&amp;TEXT(ROW(),"000"),"")</f>
      </c>
      <c r="R155" s="201">
        <f>IF($C155,IF(ISNUMBER('Proyecto Datos (OKR´s)'!$L155),'Proyecto Datos (OKR´s)'!$L155,$H155),"")</f>
      </c>
      <c r="S155" s="201">
        <f>IF($C155,$R155-'Proyecto Datos (OKR´s)'!$K155+1,"")</f>
      </c>
      <c r="T155" s="201">
        <f>IF($C155,MAX(0,TODAY()-'Proyecto Datos (OKR´s)'!$K155),"")</f>
      </c>
      <c r="U155" s="201">
        <f>IF($C155,MEDIAN(0,(TODAY()-'Proyecto Datos (OKR´s)'!$K155)/MAX(1,$R155-'Proyecto Datos (OKR´s)'!$K155),1),"")</f>
      </c>
      <c r="V155" s="201">
        <f>IF($C155,$I155-$U155,"")</f>
      </c>
      <c r="W155" s="201">
        <f>IF($C155,IF($J155="Completado",0,MAX(0,TODAY()-$H155)),"")</f>
      </c>
      <c r="X155" s="201">
        <f>IF($C155,IF(ISNUMBER($H155),$R155-$H155,0),"")</f>
      </c>
      <c r="Y155" s="201">
        <f>IF($C155,COUNTIFS($G$7:$G$200,$G155,$J$7:$J$200,"&lt;&gt;Completado",$J$7:$J$200,"&lt;&gt;"),"")</f>
      </c>
      <c r="Z155" s="201">
        <f>IF($C155,AND($I155=0,'Proyecto Datos (OKR´s)'!$K155&lt;=TODAY(),$J155&lt;&gt;"Completado"),"")</f>
      </c>
      <c r="AA155" s="201">
        <f>IF($C155,ROUND(100*(0.35*$AK155+0.3*$AL155+0.2*$AM155+0.15*MEDIAN(0,($Y155-4)/8,1)),0),"")</f>
      </c>
      <c r="AB155" s="202">
        <f>IF($C155,IF($J155="Completado","—",IF($AA155&gt;=70,"Crítica",IF($AA155&gt;=45,"Alta",IF($AA155&gt;=25,"Media","Baja")))),"")</f>
      </c>
      <c r="AC155" s="202">
        <f>IF($C155,IF(LEN(TRIM($AN155))=0,"—",TRIM($AN155)),"")</f>
      </c>
      <c r="AD155" s="201">
        <f>IF($C155,IF($N155=9999,9999,IF($J155="Completado",$N155,MAX($N155,'Historial de Sprints'!$C$7))),"")</f>
      </c>
      <c r="AE155" s="201">
        <f>IF($C155,IF($AD155=9999,"(Sin sprint)",$AD155),"")</f>
      </c>
      <c r="AF155" s="201">
        <f>IF($C155,AND($N155&lt;&gt;9999,$AD155&lt;&gt;$N155),FALSE)</f>
      </c>
      <c r="AG155" s="201">
        <f>IF($AF155,'Historial de Sprints'!$C$5+$N155*'Historial de Sprints'!$C$6-1,"")</f>
      </c>
      <c r="AH155" s="202">
        <f>IF($AF155,"No completada al cierre del Sprint "&amp;$N155&amp;" -&gt; reasignada al Sprint "&amp;$AD155,"")</f>
      </c>
      <c r="AI155" s="201">
        <f>IF($AF155,$N155*100000+ROW(),"")</f>
      </c>
      <c r="AJ155" s="201">
        <f>IF($C155,$AA155*1000000-MEDIAN(-9999,$K155,9999)*100+(300-ROW()),"")</f>
      </c>
      <c r="AK155" s="201">
        <f>IF($C155,IF($J155="Completado",0,IF($K155&lt;0,1,IF($K155&lt;=3,0.9,IF($K155&lt;=7,0.7,IF($K155&lt;=14,0.45,0.2))))),"")</f>
      </c>
      <c r="AL155" s="201">
        <f>IF($C155,IF($J155="Completado",0,MEDIAN(0,MAX(-$V155,$W155/30),1)),"")</f>
      </c>
      <c r="AM155" s="201">
        <f>IF($C155,IF($J155="Completado",0,IF($Z155,1,IF(AND($I155&lt;0.5,$K155&lt;=7),0.7,0.3))),"")</f>
      </c>
      <c r="AN155" s="202">
        <f>IF($C155,IF(OR($V155&lt;-0.2,$W155&gt;0),"ATRASO ","")&amp;IF($Z155,"BLOQUEO ","")&amp;IF($Y155&gt;8,"SOBRECARGA ","")&amp;IF($X155&gt;0,"DESVÍO-PLAN ",""),"")</f>
      </c>
    </row>
    <row r="156">
      <c r="A156" s="201">
        <f>ROW()</f>
      </c>
      <c r="B156" s="201">
        <f>ISTEXT('Proyecto Datos (OKR´s)'!$K156)</f>
      </c>
      <c r="C156" s="201">
        <f>AND(LEN('Proyecto Datos (OKR´s)'!$G156)&gt;0,NOT($B156),OR(ISNUMBER('Proyecto Datos (OKR´s)'!$F156),ISNUMBER('Proyecto Datos (OKR´s)'!$L156)))</f>
      </c>
      <c r="D156" s="202">
        <f>IF($C156,IFERROR(LOOKUP(2,1/((ISTEXT('Proyecto Datos (OKR´s)'!$K$7:$K156))*(LEN('Proyecto Datos (OKR´s)'!$G$7:$G156)&gt;0)),'Proyecto Datos (OKR´s)'!$G$7:$G156),""),"")</f>
      </c>
      <c r="E156" s="201">
        <f>IF($C156,'Proyecto Datos (OKR´s)'!$E156,"")</f>
      </c>
      <c r="F156" s="202">
        <f>IF($C156,'Proyecto Datos (OKR´s)'!$G156,"")</f>
      </c>
      <c r="G156" s="202">
        <f>IF($C156,IF('Proyecto Datos (OKR´s)'!$I156="","(Sin asignar)",'Proyecto Datos (OKR´s)'!$I156),"")</f>
      </c>
      <c r="H156" s="201">
        <f>IF($C156,IF(ISNUMBER('Proyecto Datos (OKR´s)'!$F156),'Proyecto Datos (OKR´s)'!$F156,'Proyecto Datos (OKR´s)'!$L156),"")</f>
      </c>
      <c r="I156" s="201">
        <f>IF($C156,'Proyecto Datos (OKR´s)'!$J156,"")</f>
      </c>
      <c r="J156" s="202">
        <f>IF($C156,IF($I156&gt;=1,"Completado",IF($H156&lt;TODAY(),"Vencido",IF(($H156-TODAY())&lt;='Entregas Próximas'!$M$3,"Próximo a vencer","En curso"))),"")</f>
      </c>
      <c r="K156" s="201">
        <f>IF($C156,$H156-TODAY(),"")</f>
      </c>
      <c r="L156" s="201">
        <f>IF($C156,$AD156*1000000+$H156+ROW()/100000,"")</f>
      </c>
      <c r="M156" s="201">
        <f>IF($C156,IF($AD156=9999,"(Sin sprint)",$AD156),"")</f>
      </c>
      <c r="N156" s="201">
        <f>IF($C156,IF('Proyecto Datos (OKR´s)'!$E156="",9999,'Proyecto Datos (OKR´s)'!$E156),"")</f>
      </c>
      <c r="O156" s="201">
        <f>IF($C156,"T"&amp;TEXT(ROW(),"000"),"")</f>
      </c>
      <c r="R156" s="201">
        <f>IF($C156,IF(ISNUMBER('Proyecto Datos (OKR´s)'!$L156),'Proyecto Datos (OKR´s)'!$L156,$H156),"")</f>
      </c>
      <c r="S156" s="201">
        <f>IF($C156,$R156-'Proyecto Datos (OKR´s)'!$K156+1,"")</f>
      </c>
      <c r="T156" s="201">
        <f>IF($C156,MAX(0,TODAY()-'Proyecto Datos (OKR´s)'!$K156),"")</f>
      </c>
      <c r="U156" s="201">
        <f>IF($C156,MEDIAN(0,(TODAY()-'Proyecto Datos (OKR´s)'!$K156)/MAX(1,$R156-'Proyecto Datos (OKR´s)'!$K156),1),"")</f>
      </c>
      <c r="V156" s="201">
        <f>IF($C156,$I156-$U156,"")</f>
      </c>
      <c r="W156" s="201">
        <f>IF($C156,IF($J156="Completado",0,MAX(0,TODAY()-$H156)),"")</f>
      </c>
      <c r="X156" s="201">
        <f>IF($C156,IF(ISNUMBER($H156),$R156-$H156,0),"")</f>
      </c>
      <c r="Y156" s="201">
        <f>IF($C156,COUNTIFS($G$7:$G$200,$G156,$J$7:$J$200,"&lt;&gt;Completado",$J$7:$J$200,"&lt;&gt;"),"")</f>
      </c>
      <c r="Z156" s="201">
        <f>IF($C156,AND($I156=0,'Proyecto Datos (OKR´s)'!$K156&lt;=TODAY(),$J156&lt;&gt;"Completado"),"")</f>
      </c>
      <c r="AA156" s="201">
        <f>IF($C156,ROUND(100*(0.35*$AK156+0.3*$AL156+0.2*$AM156+0.15*MEDIAN(0,($Y156-4)/8,1)),0),"")</f>
      </c>
      <c r="AB156" s="202">
        <f>IF($C156,IF($J156="Completado","—",IF($AA156&gt;=70,"Crítica",IF($AA156&gt;=45,"Alta",IF($AA156&gt;=25,"Media","Baja")))),"")</f>
      </c>
      <c r="AC156" s="202">
        <f>IF($C156,IF(LEN(TRIM($AN156))=0,"—",TRIM($AN156)),"")</f>
      </c>
      <c r="AD156" s="201">
        <f>IF($C156,IF($N156=9999,9999,IF($J156="Completado",$N156,MAX($N156,'Historial de Sprints'!$C$7))),"")</f>
      </c>
      <c r="AE156" s="201">
        <f>IF($C156,IF($AD156=9999,"(Sin sprint)",$AD156),"")</f>
      </c>
      <c r="AF156" s="201">
        <f>IF($C156,AND($N156&lt;&gt;9999,$AD156&lt;&gt;$N156),FALSE)</f>
      </c>
      <c r="AG156" s="201">
        <f>IF($AF156,'Historial de Sprints'!$C$5+$N156*'Historial de Sprints'!$C$6-1,"")</f>
      </c>
      <c r="AH156" s="202">
        <f>IF($AF156,"No completada al cierre del Sprint "&amp;$N156&amp;" -&gt; reasignada al Sprint "&amp;$AD156,"")</f>
      </c>
      <c r="AI156" s="201">
        <f>IF($AF156,$N156*100000+ROW(),"")</f>
      </c>
      <c r="AJ156" s="201">
        <f>IF($C156,$AA156*1000000-MEDIAN(-9999,$K156,9999)*100+(300-ROW()),"")</f>
      </c>
      <c r="AK156" s="201">
        <f>IF($C156,IF($J156="Completado",0,IF($K156&lt;0,1,IF($K156&lt;=3,0.9,IF($K156&lt;=7,0.7,IF($K156&lt;=14,0.45,0.2))))),"")</f>
      </c>
      <c r="AL156" s="201">
        <f>IF($C156,IF($J156="Completado",0,MEDIAN(0,MAX(-$V156,$W156/30),1)),"")</f>
      </c>
      <c r="AM156" s="201">
        <f>IF($C156,IF($J156="Completado",0,IF($Z156,1,IF(AND($I156&lt;0.5,$K156&lt;=7),0.7,0.3))),"")</f>
      </c>
      <c r="AN156" s="202">
        <f>IF($C156,IF(OR($V156&lt;-0.2,$W156&gt;0),"ATRASO ","")&amp;IF($Z156,"BLOQUEO ","")&amp;IF($Y156&gt;8,"SOBRECARGA ","")&amp;IF($X156&gt;0,"DESVÍO-PLAN ",""),"")</f>
      </c>
    </row>
    <row r="157">
      <c r="A157" s="201">
        <f>ROW()</f>
      </c>
      <c r="B157" s="201">
        <f>ISTEXT('Proyecto Datos (OKR´s)'!$K157)</f>
      </c>
      <c r="C157" s="201">
        <f>AND(LEN('Proyecto Datos (OKR´s)'!$G157)&gt;0,NOT($B157),OR(ISNUMBER('Proyecto Datos (OKR´s)'!$F157),ISNUMBER('Proyecto Datos (OKR´s)'!$L157)))</f>
      </c>
      <c r="D157" s="202">
        <f>IF($C157,IFERROR(LOOKUP(2,1/((ISTEXT('Proyecto Datos (OKR´s)'!$K$7:$K157))*(LEN('Proyecto Datos (OKR´s)'!$G$7:$G157)&gt;0)),'Proyecto Datos (OKR´s)'!$G$7:$G157),""),"")</f>
      </c>
      <c r="E157" s="201">
        <f>IF($C157,'Proyecto Datos (OKR´s)'!$E157,"")</f>
      </c>
      <c r="F157" s="202">
        <f>IF($C157,'Proyecto Datos (OKR´s)'!$G157,"")</f>
      </c>
      <c r="G157" s="202">
        <f>IF($C157,IF('Proyecto Datos (OKR´s)'!$I157="","(Sin asignar)",'Proyecto Datos (OKR´s)'!$I157),"")</f>
      </c>
      <c r="H157" s="201">
        <f>IF($C157,IF(ISNUMBER('Proyecto Datos (OKR´s)'!$F157),'Proyecto Datos (OKR´s)'!$F157,'Proyecto Datos (OKR´s)'!$L157),"")</f>
      </c>
      <c r="I157" s="201">
        <f>IF($C157,'Proyecto Datos (OKR´s)'!$J157,"")</f>
      </c>
      <c r="J157" s="202">
        <f>IF($C157,IF($I157&gt;=1,"Completado",IF($H157&lt;TODAY(),"Vencido",IF(($H157-TODAY())&lt;='Entregas Próximas'!$M$3,"Próximo a vencer","En curso"))),"")</f>
      </c>
      <c r="K157" s="201">
        <f>IF($C157,$H157-TODAY(),"")</f>
      </c>
      <c r="L157" s="201">
        <f>IF($C157,$AD157*1000000+$H157+ROW()/100000,"")</f>
      </c>
      <c r="M157" s="201">
        <f>IF($C157,IF($AD157=9999,"(Sin sprint)",$AD157),"")</f>
      </c>
      <c r="N157" s="201">
        <f>IF($C157,IF('Proyecto Datos (OKR´s)'!$E157="",9999,'Proyecto Datos (OKR´s)'!$E157),"")</f>
      </c>
      <c r="O157" s="201">
        <f>IF($C157,"T"&amp;TEXT(ROW(),"000"),"")</f>
      </c>
      <c r="R157" s="201">
        <f>IF($C157,IF(ISNUMBER('Proyecto Datos (OKR´s)'!$L157),'Proyecto Datos (OKR´s)'!$L157,$H157),"")</f>
      </c>
      <c r="S157" s="201">
        <f>IF($C157,$R157-'Proyecto Datos (OKR´s)'!$K157+1,"")</f>
      </c>
      <c r="T157" s="201">
        <f>IF($C157,MAX(0,TODAY()-'Proyecto Datos (OKR´s)'!$K157),"")</f>
      </c>
      <c r="U157" s="201">
        <f>IF($C157,MEDIAN(0,(TODAY()-'Proyecto Datos (OKR´s)'!$K157)/MAX(1,$R157-'Proyecto Datos (OKR´s)'!$K157),1),"")</f>
      </c>
      <c r="V157" s="201">
        <f>IF($C157,$I157-$U157,"")</f>
      </c>
      <c r="W157" s="201">
        <f>IF($C157,IF($J157="Completado",0,MAX(0,TODAY()-$H157)),"")</f>
      </c>
      <c r="X157" s="201">
        <f>IF($C157,IF(ISNUMBER($H157),$R157-$H157,0),"")</f>
      </c>
      <c r="Y157" s="201">
        <f>IF($C157,COUNTIFS($G$7:$G$200,$G157,$J$7:$J$200,"&lt;&gt;Completado",$J$7:$J$200,"&lt;&gt;"),"")</f>
      </c>
      <c r="Z157" s="201">
        <f>IF($C157,AND($I157=0,'Proyecto Datos (OKR´s)'!$K157&lt;=TODAY(),$J157&lt;&gt;"Completado"),"")</f>
      </c>
      <c r="AA157" s="201">
        <f>IF($C157,ROUND(100*(0.35*$AK157+0.3*$AL157+0.2*$AM157+0.15*MEDIAN(0,($Y157-4)/8,1)),0),"")</f>
      </c>
      <c r="AB157" s="202">
        <f>IF($C157,IF($J157="Completado","—",IF($AA157&gt;=70,"Crítica",IF($AA157&gt;=45,"Alta",IF($AA157&gt;=25,"Media","Baja")))),"")</f>
      </c>
      <c r="AC157" s="202">
        <f>IF($C157,IF(LEN(TRIM($AN157))=0,"—",TRIM($AN157)),"")</f>
      </c>
      <c r="AD157" s="201">
        <f>IF($C157,IF($N157=9999,9999,IF($J157="Completado",$N157,MAX($N157,'Historial de Sprints'!$C$7))),"")</f>
      </c>
      <c r="AE157" s="201">
        <f>IF($C157,IF($AD157=9999,"(Sin sprint)",$AD157),"")</f>
      </c>
      <c r="AF157" s="201">
        <f>IF($C157,AND($N157&lt;&gt;9999,$AD157&lt;&gt;$N157),FALSE)</f>
      </c>
      <c r="AG157" s="201">
        <f>IF($AF157,'Historial de Sprints'!$C$5+$N157*'Historial de Sprints'!$C$6-1,"")</f>
      </c>
      <c r="AH157" s="202">
        <f>IF($AF157,"No completada al cierre del Sprint "&amp;$N157&amp;" -&gt; reasignada al Sprint "&amp;$AD157,"")</f>
      </c>
      <c r="AI157" s="201">
        <f>IF($AF157,$N157*100000+ROW(),"")</f>
      </c>
      <c r="AJ157" s="201">
        <f>IF($C157,$AA157*1000000-MEDIAN(-9999,$K157,9999)*100+(300-ROW()),"")</f>
      </c>
      <c r="AK157" s="201">
        <f>IF($C157,IF($J157="Completado",0,IF($K157&lt;0,1,IF($K157&lt;=3,0.9,IF($K157&lt;=7,0.7,IF($K157&lt;=14,0.45,0.2))))),"")</f>
      </c>
      <c r="AL157" s="201">
        <f>IF($C157,IF($J157="Completado",0,MEDIAN(0,MAX(-$V157,$W157/30),1)),"")</f>
      </c>
      <c r="AM157" s="201">
        <f>IF($C157,IF($J157="Completado",0,IF($Z157,1,IF(AND($I157&lt;0.5,$K157&lt;=7),0.7,0.3))),"")</f>
      </c>
      <c r="AN157" s="202">
        <f>IF($C157,IF(OR($V157&lt;-0.2,$W157&gt;0),"ATRASO ","")&amp;IF($Z157,"BLOQUEO ","")&amp;IF($Y157&gt;8,"SOBRECARGA ","")&amp;IF($X157&gt;0,"DESVÍO-PLAN ",""),"")</f>
      </c>
    </row>
    <row r="158">
      <c r="A158" s="201">
        <f>ROW()</f>
      </c>
      <c r="B158" s="201">
        <f>ISTEXT('Proyecto Datos (OKR´s)'!$K158)</f>
      </c>
      <c r="C158" s="201">
        <f>AND(LEN('Proyecto Datos (OKR´s)'!$G158)&gt;0,NOT($B158),OR(ISNUMBER('Proyecto Datos (OKR´s)'!$F158),ISNUMBER('Proyecto Datos (OKR´s)'!$L158)))</f>
      </c>
      <c r="D158" s="202">
        <f>IF($C158,IFERROR(LOOKUP(2,1/((ISTEXT('Proyecto Datos (OKR´s)'!$K$7:$K158))*(LEN('Proyecto Datos (OKR´s)'!$G$7:$G158)&gt;0)),'Proyecto Datos (OKR´s)'!$G$7:$G158),""),"")</f>
      </c>
      <c r="E158" s="201">
        <f>IF($C158,'Proyecto Datos (OKR´s)'!$E158,"")</f>
      </c>
      <c r="F158" s="202">
        <f>IF($C158,'Proyecto Datos (OKR´s)'!$G158,"")</f>
      </c>
      <c r="G158" s="202">
        <f>IF($C158,IF('Proyecto Datos (OKR´s)'!$I158="","(Sin asignar)",'Proyecto Datos (OKR´s)'!$I158),"")</f>
      </c>
      <c r="H158" s="201">
        <f>IF($C158,IF(ISNUMBER('Proyecto Datos (OKR´s)'!$F158),'Proyecto Datos (OKR´s)'!$F158,'Proyecto Datos (OKR´s)'!$L158),"")</f>
      </c>
      <c r="I158" s="201">
        <f>IF($C158,'Proyecto Datos (OKR´s)'!$J158,"")</f>
      </c>
      <c r="J158" s="202">
        <f>IF($C158,IF($I158&gt;=1,"Completado",IF($H158&lt;TODAY(),"Vencido",IF(($H158-TODAY())&lt;='Entregas Próximas'!$M$3,"Próximo a vencer","En curso"))),"")</f>
      </c>
      <c r="K158" s="201">
        <f>IF($C158,$H158-TODAY(),"")</f>
      </c>
      <c r="L158" s="201">
        <f>IF($C158,$AD158*1000000+$H158+ROW()/100000,"")</f>
      </c>
      <c r="M158" s="201">
        <f>IF($C158,IF($AD158=9999,"(Sin sprint)",$AD158),"")</f>
      </c>
      <c r="N158" s="201">
        <f>IF($C158,IF('Proyecto Datos (OKR´s)'!$E158="",9999,'Proyecto Datos (OKR´s)'!$E158),"")</f>
      </c>
      <c r="O158" s="201">
        <f>IF($C158,"T"&amp;TEXT(ROW(),"000"),"")</f>
      </c>
      <c r="R158" s="201">
        <f>IF($C158,IF(ISNUMBER('Proyecto Datos (OKR´s)'!$L158),'Proyecto Datos (OKR´s)'!$L158,$H158),"")</f>
      </c>
      <c r="S158" s="201">
        <f>IF($C158,$R158-'Proyecto Datos (OKR´s)'!$K158+1,"")</f>
      </c>
      <c r="T158" s="201">
        <f>IF($C158,MAX(0,TODAY()-'Proyecto Datos (OKR´s)'!$K158),"")</f>
      </c>
      <c r="U158" s="201">
        <f>IF($C158,MEDIAN(0,(TODAY()-'Proyecto Datos (OKR´s)'!$K158)/MAX(1,$R158-'Proyecto Datos (OKR´s)'!$K158),1),"")</f>
      </c>
      <c r="V158" s="201">
        <f>IF($C158,$I158-$U158,"")</f>
      </c>
      <c r="W158" s="201">
        <f>IF($C158,IF($J158="Completado",0,MAX(0,TODAY()-$H158)),"")</f>
      </c>
      <c r="X158" s="201">
        <f>IF($C158,IF(ISNUMBER($H158),$R158-$H158,0),"")</f>
      </c>
      <c r="Y158" s="201">
        <f>IF($C158,COUNTIFS($G$7:$G$200,$G158,$J$7:$J$200,"&lt;&gt;Completado",$J$7:$J$200,"&lt;&gt;"),"")</f>
      </c>
      <c r="Z158" s="201">
        <f>IF($C158,AND($I158=0,'Proyecto Datos (OKR´s)'!$K158&lt;=TODAY(),$J158&lt;&gt;"Completado"),"")</f>
      </c>
      <c r="AA158" s="201">
        <f>IF($C158,ROUND(100*(0.35*$AK158+0.3*$AL158+0.2*$AM158+0.15*MEDIAN(0,($Y158-4)/8,1)),0),"")</f>
      </c>
      <c r="AB158" s="202">
        <f>IF($C158,IF($J158="Completado","—",IF($AA158&gt;=70,"Crítica",IF($AA158&gt;=45,"Alta",IF($AA158&gt;=25,"Media","Baja")))),"")</f>
      </c>
      <c r="AC158" s="202">
        <f>IF($C158,IF(LEN(TRIM($AN158))=0,"—",TRIM($AN158)),"")</f>
      </c>
      <c r="AD158" s="201">
        <f>IF($C158,IF($N158=9999,9999,IF($J158="Completado",$N158,MAX($N158,'Historial de Sprints'!$C$7))),"")</f>
      </c>
      <c r="AE158" s="201">
        <f>IF($C158,IF($AD158=9999,"(Sin sprint)",$AD158),"")</f>
      </c>
      <c r="AF158" s="201">
        <f>IF($C158,AND($N158&lt;&gt;9999,$AD158&lt;&gt;$N158),FALSE)</f>
      </c>
      <c r="AG158" s="201">
        <f>IF($AF158,'Historial de Sprints'!$C$5+$N158*'Historial de Sprints'!$C$6-1,"")</f>
      </c>
      <c r="AH158" s="202">
        <f>IF($AF158,"No completada al cierre del Sprint "&amp;$N158&amp;" -&gt; reasignada al Sprint "&amp;$AD158,"")</f>
      </c>
      <c r="AI158" s="201">
        <f>IF($AF158,$N158*100000+ROW(),"")</f>
      </c>
      <c r="AJ158" s="201">
        <f>IF($C158,$AA158*1000000-MEDIAN(-9999,$K158,9999)*100+(300-ROW()),"")</f>
      </c>
      <c r="AK158" s="201">
        <f>IF($C158,IF($J158="Completado",0,IF($K158&lt;0,1,IF($K158&lt;=3,0.9,IF($K158&lt;=7,0.7,IF($K158&lt;=14,0.45,0.2))))),"")</f>
      </c>
      <c r="AL158" s="201">
        <f>IF($C158,IF($J158="Completado",0,MEDIAN(0,MAX(-$V158,$W158/30),1)),"")</f>
      </c>
      <c r="AM158" s="201">
        <f>IF($C158,IF($J158="Completado",0,IF($Z158,1,IF(AND($I158&lt;0.5,$K158&lt;=7),0.7,0.3))),"")</f>
      </c>
      <c r="AN158" s="202">
        <f>IF($C158,IF(OR($V158&lt;-0.2,$W158&gt;0),"ATRASO ","")&amp;IF($Z158,"BLOQUEO ","")&amp;IF($Y158&gt;8,"SOBRECARGA ","")&amp;IF($X158&gt;0,"DESVÍO-PLAN ",""),"")</f>
      </c>
    </row>
    <row r="159">
      <c r="A159" s="201">
        <f>ROW()</f>
      </c>
      <c r="B159" s="201">
        <f>ISTEXT('Proyecto Datos (OKR´s)'!$K159)</f>
      </c>
      <c r="C159" s="201">
        <f>AND(LEN('Proyecto Datos (OKR´s)'!$G159)&gt;0,NOT($B159),OR(ISNUMBER('Proyecto Datos (OKR´s)'!$F159),ISNUMBER('Proyecto Datos (OKR´s)'!$L159)))</f>
      </c>
      <c r="D159" s="202">
        <f>IF($C159,IFERROR(LOOKUP(2,1/((ISTEXT('Proyecto Datos (OKR´s)'!$K$7:$K159))*(LEN('Proyecto Datos (OKR´s)'!$G$7:$G159)&gt;0)),'Proyecto Datos (OKR´s)'!$G$7:$G159),""),"")</f>
      </c>
      <c r="E159" s="201">
        <f>IF($C159,'Proyecto Datos (OKR´s)'!$E159,"")</f>
      </c>
      <c r="F159" s="202">
        <f>IF($C159,'Proyecto Datos (OKR´s)'!$G159,"")</f>
      </c>
      <c r="G159" s="202">
        <f>IF($C159,IF('Proyecto Datos (OKR´s)'!$I159="","(Sin asignar)",'Proyecto Datos (OKR´s)'!$I159),"")</f>
      </c>
      <c r="H159" s="201">
        <f>IF($C159,IF(ISNUMBER('Proyecto Datos (OKR´s)'!$F159),'Proyecto Datos (OKR´s)'!$F159,'Proyecto Datos (OKR´s)'!$L159),"")</f>
      </c>
      <c r="I159" s="201">
        <f>IF($C159,'Proyecto Datos (OKR´s)'!$J159,"")</f>
      </c>
      <c r="J159" s="202">
        <f>IF($C159,IF($I159&gt;=1,"Completado",IF($H159&lt;TODAY(),"Vencido",IF(($H159-TODAY())&lt;='Entregas Próximas'!$M$3,"Próximo a vencer","En curso"))),"")</f>
      </c>
      <c r="K159" s="201">
        <f>IF($C159,$H159-TODAY(),"")</f>
      </c>
      <c r="L159" s="201">
        <f>IF($C159,$AD159*1000000+$H159+ROW()/100000,"")</f>
      </c>
      <c r="M159" s="201">
        <f>IF($C159,IF($AD159=9999,"(Sin sprint)",$AD159),"")</f>
      </c>
      <c r="N159" s="201">
        <f>IF($C159,IF('Proyecto Datos (OKR´s)'!$E159="",9999,'Proyecto Datos (OKR´s)'!$E159),"")</f>
      </c>
      <c r="O159" s="201">
        <f>IF($C159,"T"&amp;TEXT(ROW(),"000"),"")</f>
      </c>
      <c r="R159" s="201">
        <f>IF($C159,IF(ISNUMBER('Proyecto Datos (OKR´s)'!$L159),'Proyecto Datos (OKR´s)'!$L159,$H159),"")</f>
      </c>
      <c r="S159" s="201">
        <f>IF($C159,$R159-'Proyecto Datos (OKR´s)'!$K159+1,"")</f>
      </c>
      <c r="T159" s="201">
        <f>IF($C159,MAX(0,TODAY()-'Proyecto Datos (OKR´s)'!$K159),"")</f>
      </c>
      <c r="U159" s="201">
        <f>IF($C159,MEDIAN(0,(TODAY()-'Proyecto Datos (OKR´s)'!$K159)/MAX(1,$R159-'Proyecto Datos (OKR´s)'!$K159),1),"")</f>
      </c>
      <c r="V159" s="201">
        <f>IF($C159,$I159-$U159,"")</f>
      </c>
      <c r="W159" s="201">
        <f>IF($C159,IF($J159="Completado",0,MAX(0,TODAY()-$H159)),"")</f>
      </c>
      <c r="X159" s="201">
        <f>IF($C159,IF(ISNUMBER($H159),$R159-$H159,0),"")</f>
      </c>
      <c r="Y159" s="201">
        <f>IF($C159,COUNTIFS($G$7:$G$200,$G159,$J$7:$J$200,"&lt;&gt;Completado",$J$7:$J$200,"&lt;&gt;"),"")</f>
      </c>
      <c r="Z159" s="201">
        <f>IF($C159,AND($I159=0,'Proyecto Datos (OKR´s)'!$K159&lt;=TODAY(),$J159&lt;&gt;"Completado"),"")</f>
      </c>
      <c r="AA159" s="201">
        <f>IF($C159,ROUND(100*(0.35*$AK159+0.3*$AL159+0.2*$AM159+0.15*MEDIAN(0,($Y159-4)/8,1)),0),"")</f>
      </c>
      <c r="AB159" s="202">
        <f>IF($C159,IF($J159="Completado","—",IF($AA159&gt;=70,"Crítica",IF($AA159&gt;=45,"Alta",IF($AA159&gt;=25,"Media","Baja")))),"")</f>
      </c>
      <c r="AC159" s="202">
        <f>IF($C159,IF(LEN(TRIM($AN159))=0,"—",TRIM($AN159)),"")</f>
      </c>
      <c r="AD159" s="201">
        <f>IF($C159,IF($N159=9999,9999,IF($J159="Completado",$N159,MAX($N159,'Historial de Sprints'!$C$7))),"")</f>
      </c>
      <c r="AE159" s="201">
        <f>IF($C159,IF($AD159=9999,"(Sin sprint)",$AD159),"")</f>
      </c>
      <c r="AF159" s="201">
        <f>IF($C159,AND($N159&lt;&gt;9999,$AD159&lt;&gt;$N159),FALSE)</f>
      </c>
      <c r="AG159" s="201">
        <f>IF($AF159,'Historial de Sprints'!$C$5+$N159*'Historial de Sprints'!$C$6-1,"")</f>
      </c>
      <c r="AH159" s="202">
        <f>IF($AF159,"No completada al cierre del Sprint "&amp;$N159&amp;" -&gt; reasignada al Sprint "&amp;$AD159,"")</f>
      </c>
      <c r="AI159" s="201">
        <f>IF($AF159,$N159*100000+ROW(),"")</f>
      </c>
      <c r="AJ159" s="201">
        <f>IF($C159,$AA159*1000000-MEDIAN(-9999,$K159,9999)*100+(300-ROW()),"")</f>
      </c>
      <c r="AK159" s="201">
        <f>IF($C159,IF($J159="Completado",0,IF($K159&lt;0,1,IF($K159&lt;=3,0.9,IF($K159&lt;=7,0.7,IF($K159&lt;=14,0.45,0.2))))),"")</f>
      </c>
      <c r="AL159" s="201">
        <f>IF($C159,IF($J159="Completado",0,MEDIAN(0,MAX(-$V159,$W159/30),1)),"")</f>
      </c>
      <c r="AM159" s="201">
        <f>IF($C159,IF($J159="Completado",0,IF($Z159,1,IF(AND($I159&lt;0.5,$K159&lt;=7),0.7,0.3))),"")</f>
      </c>
      <c r="AN159" s="202">
        <f>IF($C159,IF(OR($V159&lt;-0.2,$W159&gt;0),"ATRASO ","")&amp;IF($Z159,"BLOQUEO ","")&amp;IF($Y159&gt;8,"SOBRECARGA ","")&amp;IF($X159&gt;0,"DESVÍO-PLAN ",""),"")</f>
      </c>
    </row>
    <row r="160">
      <c r="A160" s="201">
        <f>ROW()</f>
      </c>
      <c r="B160" s="201">
        <f>ISTEXT('Proyecto Datos (OKR´s)'!$K160)</f>
      </c>
      <c r="C160" s="201">
        <f>AND(LEN('Proyecto Datos (OKR´s)'!$G160)&gt;0,NOT($B160),OR(ISNUMBER('Proyecto Datos (OKR´s)'!$F160),ISNUMBER('Proyecto Datos (OKR´s)'!$L160)))</f>
      </c>
      <c r="D160" s="202">
        <f>IF($C160,IFERROR(LOOKUP(2,1/((ISTEXT('Proyecto Datos (OKR´s)'!$K$7:$K160))*(LEN('Proyecto Datos (OKR´s)'!$G$7:$G160)&gt;0)),'Proyecto Datos (OKR´s)'!$G$7:$G160),""),"")</f>
      </c>
      <c r="E160" s="201">
        <f>IF($C160,'Proyecto Datos (OKR´s)'!$E160,"")</f>
      </c>
      <c r="F160" s="202">
        <f>IF($C160,'Proyecto Datos (OKR´s)'!$G160,"")</f>
      </c>
      <c r="G160" s="202">
        <f>IF($C160,IF('Proyecto Datos (OKR´s)'!$I160="","(Sin asignar)",'Proyecto Datos (OKR´s)'!$I160),"")</f>
      </c>
      <c r="H160" s="201">
        <f>IF($C160,IF(ISNUMBER('Proyecto Datos (OKR´s)'!$F160),'Proyecto Datos (OKR´s)'!$F160,'Proyecto Datos (OKR´s)'!$L160),"")</f>
      </c>
      <c r="I160" s="201">
        <f>IF($C160,'Proyecto Datos (OKR´s)'!$J160,"")</f>
      </c>
      <c r="J160" s="202">
        <f>IF($C160,IF($I160&gt;=1,"Completado",IF($H160&lt;TODAY(),"Vencido",IF(($H160-TODAY())&lt;='Entregas Próximas'!$M$3,"Próximo a vencer","En curso"))),"")</f>
      </c>
      <c r="K160" s="201">
        <f>IF($C160,$H160-TODAY(),"")</f>
      </c>
      <c r="L160" s="201">
        <f>IF($C160,$AD160*1000000+$H160+ROW()/100000,"")</f>
      </c>
      <c r="M160" s="201">
        <f>IF($C160,IF($AD160=9999,"(Sin sprint)",$AD160),"")</f>
      </c>
      <c r="N160" s="201">
        <f>IF($C160,IF('Proyecto Datos (OKR´s)'!$E160="",9999,'Proyecto Datos (OKR´s)'!$E160),"")</f>
      </c>
      <c r="O160" s="201">
        <f>IF($C160,"T"&amp;TEXT(ROW(),"000"),"")</f>
      </c>
      <c r="R160" s="201">
        <f>IF($C160,IF(ISNUMBER('Proyecto Datos (OKR´s)'!$L160),'Proyecto Datos (OKR´s)'!$L160,$H160),"")</f>
      </c>
      <c r="S160" s="201">
        <f>IF($C160,$R160-'Proyecto Datos (OKR´s)'!$K160+1,"")</f>
      </c>
      <c r="T160" s="201">
        <f>IF($C160,MAX(0,TODAY()-'Proyecto Datos (OKR´s)'!$K160),"")</f>
      </c>
      <c r="U160" s="201">
        <f>IF($C160,MEDIAN(0,(TODAY()-'Proyecto Datos (OKR´s)'!$K160)/MAX(1,$R160-'Proyecto Datos (OKR´s)'!$K160),1),"")</f>
      </c>
      <c r="V160" s="201">
        <f>IF($C160,$I160-$U160,"")</f>
      </c>
      <c r="W160" s="201">
        <f>IF($C160,IF($J160="Completado",0,MAX(0,TODAY()-$H160)),"")</f>
      </c>
      <c r="X160" s="201">
        <f>IF($C160,IF(ISNUMBER($H160),$R160-$H160,0),"")</f>
      </c>
      <c r="Y160" s="201">
        <f>IF($C160,COUNTIFS($G$7:$G$200,$G160,$J$7:$J$200,"&lt;&gt;Completado",$J$7:$J$200,"&lt;&gt;"),"")</f>
      </c>
      <c r="Z160" s="201">
        <f>IF($C160,AND($I160=0,'Proyecto Datos (OKR´s)'!$K160&lt;=TODAY(),$J160&lt;&gt;"Completado"),"")</f>
      </c>
      <c r="AA160" s="201">
        <f>IF($C160,ROUND(100*(0.35*$AK160+0.3*$AL160+0.2*$AM160+0.15*MEDIAN(0,($Y160-4)/8,1)),0),"")</f>
      </c>
      <c r="AB160" s="202">
        <f>IF($C160,IF($J160="Completado","—",IF($AA160&gt;=70,"Crítica",IF($AA160&gt;=45,"Alta",IF($AA160&gt;=25,"Media","Baja")))),"")</f>
      </c>
      <c r="AC160" s="202">
        <f>IF($C160,IF(LEN(TRIM($AN160))=0,"—",TRIM($AN160)),"")</f>
      </c>
      <c r="AD160" s="201">
        <f>IF($C160,IF($N160=9999,9999,IF($J160="Completado",$N160,MAX($N160,'Historial de Sprints'!$C$7))),"")</f>
      </c>
      <c r="AE160" s="201">
        <f>IF($C160,IF($AD160=9999,"(Sin sprint)",$AD160),"")</f>
      </c>
      <c r="AF160" s="201">
        <f>IF($C160,AND($N160&lt;&gt;9999,$AD160&lt;&gt;$N160),FALSE)</f>
      </c>
      <c r="AG160" s="201">
        <f>IF($AF160,'Historial de Sprints'!$C$5+$N160*'Historial de Sprints'!$C$6-1,"")</f>
      </c>
      <c r="AH160" s="202">
        <f>IF($AF160,"No completada al cierre del Sprint "&amp;$N160&amp;" -&gt; reasignada al Sprint "&amp;$AD160,"")</f>
      </c>
      <c r="AI160" s="201">
        <f>IF($AF160,$N160*100000+ROW(),"")</f>
      </c>
      <c r="AJ160" s="201">
        <f>IF($C160,$AA160*1000000-MEDIAN(-9999,$K160,9999)*100+(300-ROW()),"")</f>
      </c>
      <c r="AK160" s="201">
        <f>IF($C160,IF($J160="Completado",0,IF($K160&lt;0,1,IF($K160&lt;=3,0.9,IF($K160&lt;=7,0.7,IF($K160&lt;=14,0.45,0.2))))),"")</f>
      </c>
      <c r="AL160" s="201">
        <f>IF($C160,IF($J160="Completado",0,MEDIAN(0,MAX(-$V160,$W160/30),1)),"")</f>
      </c>
      <c r="AM160" s="201">
        <f>IF($C160,IF($J160="Completado",0,IF($Z160,1,IF(AND($I160&lt;0.5,$K160&lt;=7),0.7,0.3))),"")</f>
      </c>
      <c r="AN160" s="202">
        <f>IF($C160,IF(OR($V160&lt;-0.2,$W160&gt;0),"ATRASO ","")&amp;IF($Z160,"BLOQUEO ","")&amp;IF($Y160&gt;8,"SOBRECARGA ","")&amp;IF($X160&gt;0,"DESVÍO-PLAN ",""),"")</f>
      </c>
    </row>
    <row r="161">
      <c r="A161" s="201">
        <f>ROW()</f>
      </c>
      <c r="B161" s="201">
        <f>ISTEXT('Proyecto Datos (OKR´s)'!$K161)</f>
      </c>
      <c r="C161" s="201">
        <f>AND(LEN('Proyecto Datos (OKR´s)'!$G161)&gt;0,NOT($B161),OR(ISNUMBER('Proyecto Datos (OKR´s)'!$F161),ISNUMBER('Proyecto Datos (OKR´s)'!$L161)))</f>
      </c>
      <c r="D161" s="202">
        <f>IF($C161,IFERROR(LOOKUP(2,1/((ISTEXT('Proyecto Datos (OKR´s)'!$K$7:$K161))*(LEN('Proyecto Datos (OKR´s)'!$G$7:$G161)&gt;0)),'Proyecto Datos (OKR´s)'!$G$7:$G161),""),"")</f>
      </c>
      <c r="E161" s="201">
        <f>IF($C161,'Proyecto Datos (OKR´s)'!$E161,"")</f>
      </c>
      <c r="F161" s="202">
        <f>IF($C161,'Proyecto Datos (OKR´s)'!$G161,"")</f>
      </c>
      <c r="G161" s="202">
        <f>IF($C161,IF('Proyecto Datos (OKR´s)'!$I161="","(Sin asignar)",'Proyecto Datos (OKR´s)'!$I161),"")</f>
      </c>
      <c r="H161" s="201">
        <f>IF($C161,IF(ISNUMBER('Proyecto Datos (OKR´s)'!$F161),'Proyecto Datos (OKR´s)'!$F161,'Proyecto Datos (OKR´s)'!$L161),"")</f>
      </c>
      <c r="I161" s="201">
        <f>IF($C161,'Proyecto Datos (OKR´s)'!$J161,"")</f>
      </c>
      <c r="J161" s="202">
        <f>IF($C161,IF($I161&gt;=1,"Completado",IF($H161&lt;TODAY(),"Vencido",IF(($H161-TODAY())&lt;='Entregas Próximas'!$M$3,"Próximo a vencer","En curso"))),"")</f>
      </c>
      <c r="K161" s="201">
        <f>IF($C161,$H161-TODAY(),"")</f>
      </c>
      <c r="L161" s="201">
        <f>IF($C161,$AD161*1000000+$H161+ROW()/100000,"")</f>
      </c>
      <c r="M161" s="201">
        <f>IF($C161,IF($AD161=9999,"(Sin sprint)",$AD161),"")</f>
      </c>
      <c r="N161" s="201">
        <f>IF($C161,IF('Proyecto Datos (OKR´s)'!$E161="",9999,'Proyecto Datos (OKR´s)'!$E161),"")</f>
      </c>
      <c r="O161" s="201">
        <f>IF($C161,"T"&amp;TEXT(ROW(),"000"),"")</f>
      </c>
      <c r="R161" s="201">
        <f>IF($C161,IF(ISNUMBER('Proyecto Datos (OKR´s)'!$L161),'Proyecto Datos (OKR´s)'!$L161,$H161),"")</f>
      </c>
      <c r="S161" s="201">
        <f>IF($C161,$R161-'Proyecto Datos (OKR´s)'!$K161+1,"")</f>
      </c>
      <c r="T161" s="201">
        <f>IF($C161,MAX(0,TODAY()-'Proyecto Datos (OKR´s)'!$K161),"")</f>
      </c>
      <c r="U161" s="201">
        <f>IF($C161,MEDIAN(0,(TODAY()-'Proyecto Datos (OKR´s)'!$K161)/MAX(1,$R161-'Proyecto Datos (OKR´s)'!$K161),1),"")</f>
      </c>
      <c r="V161" s="201">
        <f>IF($C161,$I161-$U161,"")</f>
      </c>
      <c r="W161" s="201">
        <f>IF($C161,IF($J161="Completado",0,MAX(0,TODAY()-$H161)),"")</f>
      </c>
      <c r="X161" s="201">
        <f>IF($C161,IF(ISNUMBER($H161),$R161-$H161,0),"")</f>
      </c>
      <c r="Y161" s="201">
        <f>IF($C161,COUNTIFS($G$7:$G$200,$G161,$J$7:$J$200,"&lt;&gt;Completado",$J$7:$J$200,"&lt;&gt;"),"")</f>
      </c>
      <c r="Z161" s="201">
        <f>IF($C161,AND($I161=0,'Proyecto Datos (OKR´s)'!$K161&lt;=TODAY(),$J161&lt;&gt;"Completado"),"")</f>
      </c>
      <c r="AA161" s="201">
        <f>IF($C161,ROUND(100*(0.35*$AK161+0.3*$AL161+0.2*$AM161+0.15*MEDIAN(0,($Y161-4)/8,1)),0),"")</f>
      </c>
      <c r="AB161" s="202">
        <f>IF($C161,IF($J161="Completado","—",IF($AA161&gt;=70,"Crítica",IF($AA161&gt;=45,"Alta",IF($AA161&gt;=25,"Media","Baja")))),"")</f>
      </c>
      <c r="AC161" s="202">
        <f>IF($C161,IF(LEN(TRIM($AN161))=0,"—",TRIM($AN161)),"")</f>
      </c>
      <c r="AD161" s="201">
        <f>IF($C161,IF($N161=9999,9999,IF($J161="Completado",$N161,MAX($N161,'Historial de Sprints'!$C$7))),"")</f>
      </c>
      <c r="AE161" s="201">
        <f>IF($C161,IF($AD161=9999,"(Sin sprint)",$AD161),"")</f>
      </c>
      <c r="AF161" s="201">
        <f>IF($C161,AND($N161&lt;&gt;9999,$AD161&lt;&gt;$N161),FALSE)</f>
      </c>
      <c r="AG161" s="201">
        <f>IF($AF161,'Historial de Sprints'!$C$5+$N161*'Historial de Sprints'!$C$6-1,"")</f>
      </c>
      <c r="AH161" s="202">
        <f>IF($AF161,"No completada al cierre del Sprint "&amp;$N161&amp;" -&gt; reasignada al Sprint "&amp;$AD161,"")</f>
      </c>
      <c r="AI161" s="201">
        <f>IF($AF161,$N161*100000+ROW(),"")</f>
      </c>
      <c r="AJ161" s="201">
        <f>IF($C161,$AA161*1000000-MEDIAN(-9999,$K161,9999)*100+(300-ROW()),"")</f>
      </c>
      <c r="AK161" s="201">
        <f>IF($C161,IF($J161="Completado",0,IF($K161&lt;0,1,IF($K161&lt;=3,0.9,IF($K161&lt;=7,0.7,IF($K161&lt;=14,0.45,0.2))))),"")</f>
      </c>
      <c r="AL161" s="201">
        <f>IF($C161,IF($J161="Completado",0,MEDIAN(0,MAX(-$V161,$W161/30),1)),"")</f>
      </c>
      <c r="AM161" s="201">
        <f>IF($C161,IF($J161="Completado",0,IF($Z161,1,IF(AND($I161&lt;0.5,$K161&lt;=7),0.7,0.3))),"")</f>
      </c>
      <c r="AN161" s="202">
        <f>IF($C161,IF(OR($V161&lt;-0.2,$W161&gt;0),"ATRASO ","")&amp;IF($Z161,"BLOQUEO ","")&amp;IF($Y161&gt;8,"SOBRECARGA ","")&amp;IF($X161&gt;0,"DESVÍO-PLAN ",""),"")</f>
      </c>
    </row>
    <row r="162">
      <c r="A162" s="201">
        <f>ROW()</f>
      </c>
      <c r="B162" s="201">
        <f>ISTEXT('Proyecto Datos (OKR´s)'!$K162)</f>
      </c>
      <c r="C162" s="201">
        <f>AND(LEN('Proyecto Datos (OKR´s)'!$G162)&gt;0,NOT($B162),OR(ISNUMBER('Proyecto Datos (OKR´s)'!$F162),ISNUMBER('Proyecto Datos (OKR´s)'!$L162)))</f>
      </c>
      <c r="D162" s="202">
        <f>IF($C162,IFERROR(LOOKUP(2,1/((ISTEXT('Proyecto Datos (OKR´s)'!$K$7:$K162))*(LEN('Proyecto Datos (OKR´s)'!$G$7:$G162)&gt;0)),'Proyecto Datos (OKR´s)'!$G$7:$G162),""),"")</f>
      </c>
      <c r="E162" s="201">
        <f>IF($C162,'Proyecto Datos (OKR´s)'!$E162,"")</f>
      </c>
      <c r="F162" s="202">
        <f>IF($C162,'Proyecto Datos (OKR´s)'!$G162,"")</f>
      </c>
      <c r="G162" s="202">
        <f>IF($C162,IF('Proyecto Datos (OKR´s)'!$I162="","(Sin asignar)",'Proyecto Datos (OKR´s)'!$I162),"")</f>
      </c>
      <c r="H162" s="201">
        <f>IF($C162,IF(ISNUMBER('Proyecto Datos (OKR´s)'!$F162),'Proyecto Datos (OKR´s)'!$F162,'Proyecto Datos (OKR´s)'!$L162),"")</f>
      </c>
      <c r="I162" s="201">
        <f>IF($C162,'Proyecto Datos (OKR´s)'!$J162,"")</f>
      </c>
      <c r="J162" s="202">
        <f>IF($C162,IF($I162&gt;=1,"Completado",IF($H162&lt;TODAY(),"Vencido",IF(($H162-TODAY())&lt;='Entregas Próximas'!$M$3,"Próximo a vencer","En curso"))),"")</f>
      </c>
      <c r="K162" s="201">
        <f>IF($C162,$H162-TODAY(),"")</f>
      </c>
      <c r="L162" s="201">
        <f>IF($C162,$AD162*1000000+$H162+ROW()/100000,"")</f>
      </c>
      <c r="M162" s="201">
        <f>IF($C162,IF($AD162=9999,"(Sin sprint)",$AD162),"")</f>
      </c>
      <c r="N162" s="201">
        <f>IF($C162,IF('Proyecto Datos (OKR´s)'!$E162="",9999,'Proyecto Datos (OKR´s)'!$E162),"")</f>
      </c>
      <c r="O162" s="201">
        <f>IF($C162,"T"&amp;TEXT(ROW(),"000"),"")</f>
      </c>
      <c r="R162" s="201">
        <f>IF($C162,IF(ISNUMBER('Proyecto Datos (OKR´s)'!$L162),'Proyecto Datos (OKR´s)'!$L162,$H162),"")</f>
      </c>
      <c r="S162" s="201">
        <f>IF($C162,$R162-'Proyecto Datos (OKR´s)'!$K162+1,"")</f>
      </c>
      <c r="T162" s="201">
        <f>IF($C162,MAX(0,TODAY()-'Proyecto Datos (OKR´s)'!$K162),"")</f>
      </c>
      <c r="U162" s="201">
        <f>IF($C162,MEDIAN(0,(TODAY()-'Proyecto Datos (OKR´s)'!$K162)/MAX(1,$R162-'Proyecto Datos (OKR´s)'!$K162),1),"")</f>
      </c>
      <c r="V162" s="201">
        <f>IF($C162,$I162-$U162,"")</f>
      </c>
      <c r="W162" s="201">
        <f>IF($C162,IF($J162="Completado",0,MAX(0,TODAY()-$H162)),"")</f>
      </c>
      <c r="X162" s="201">
        <f>IF($C162,IF(ISNUMBER($H162),$R162-$H162,0),"")</f>
      </c>
      <c r="Y162" s="201">
        <f>IF($C162,COUNTIFS($G$7:$G$200,$G162,$J$7:$J$200,"&lt;&gt;Completado",$J$7:$J$200,"&lt;&gt;"),"")</f>
      </c>
      <c r="Z162" s="201">
        <f>IF($C162,AND($I162=0,'Proyecto Datos (OKR´s)'!$K162&lt;=TODAY(),$J162&lt;&gt;"Completado"),"")</f>
      </c>
      <c r="AA162" s="201">
        <f>IF($C162,ROUND(100*(0.35*$AK162+0.3*$AL162+0.2*$AM162+0.15*MEDIAN(0,($Y162-4)/8,1)),0),"")</f>
      </c>
      <c r="AB162" s="202">
        <f>IF($C162,IF($J162="Completado","—",IF($AA162&gt;=70,"Crítica",IF($AA162&gt;=45,"Alta",IF($AA162&gt;=25,"Media","Baja")))),"")</f>
      </c>
      <c r="AC162" s="202">
        <f>IF($C162,IF(LEN(TRIM($AN162))=0,"—",TRIM($AN162)),"")</f>
      </c>
      <c r="AD162" s="201">
        <f>IF($C162,IF($N162=9999,9999,IF($J162="Completado",$N162,MAX($N162,'Historial de Sprints'!$C$7))),"")</f>
      </c>
      <c r="AE162" s="201">
        <f>IF($C162,IF($AD162=9999,"(Sin sprint)",$AD162),"")</f>
      </c>
      <c r="AF162" s="201">
        <f>IF($C162,AND($N162&lt;&gt;9999,$AD162&lt;&gt;$N162),FALSE)</f>
      </c>
      <c r="AG162" s="201">
        <f>IF($AF162,'Historial de Sprints'!$C$5+$N162*'Historial de Sprints'!$C$6-1,"")</f>
      </c>
      <c r="AH162" s="202">
        <f>IF($AF162,"No completada al cierre del Sprint "&amp;$N162&amp;" -&gt; reasignada al Sprint "&amp;$AD162,"")</f>
      </c>
      <c r="AI162" s="201">
        <f>IF($AF162,$N162*100000+ROW(),"")</f>
      </c>
      <c r="AJ162" s="201">
        <f>IF($C162,$AA162*1000000-MEDIAN(-9999,$K162,9999)*100+(300-ROW()),"")</f>
      </c>
      <c r="AK162" s="201">
        <f>IF($C162,IF($J162="Completado",0,IF($K162&lt;0,1,IF($K162&lt;=3,0.9,IF($K162&lt;=7,0.7,IF($K162&lt;=14,0.45,0.2))))),"")</f>
      </c>
      <c r="AL162" s="201">
        <f>IF($C162,IF($J162="Completado",0,MEDIAN(0,MAX(-$V162,$W162/30),1)),"")</f>
      </c>
      <c r="AM162" s="201">
        <f>IF($C162,IF($J162="Completado",0,IF($Z162,1,IF(AND($I162&lt;0.5,$K162&lt;=7),0.7,0.3))),"")</f>
      </c>
      <c r="AN162" s="202">
        <f>IF($C162,IF(OR($V162&lt;-0.2,$W162&gt;0),"ATRASO ","")&amp;IF($Z162,"BLOQUEO ","")&amp;IF($Y162&gt;8,"SOBRECARGA ","")&amp;IF($X162&gt;0,"DESVÍO-PLAN ",""),"")</f>
      </c>
    </row>
    <row r="163">
      <c r="A163" s="201">
        <f>ROW()</f>
      </c>
      <c r="B163" s="201">
        <f>ISTEXT('Proyecto Datos (OKR´s)'!$K163)</f>
      </c>
      <c r="C163" s="201">
        <f>AND(LEN('Proyecto Datos (OKR´s)'!$G163)&gt;0,NOT($B163),OR(ISNUMBER('Proyecto Datos (OKR´s)'!$F163),ISNUMBER('Proyecto Datos (OKR´s)'!$L163)))</f>
      </c>
      <c r="D163" s="202">
        <f>IF($C163,IFERROR(LOOKUP(2,1/((ISTEXT('Proyecto Datos (OKR´s)'!$K$7:$K163))*(LEN('Proyecto Datos (OKR´s)'!$G$7:$G163)&gt;0)),'Proyecto Datos (OKR´s)'!$G$7:$G163),""),"")</f>
      </c>
      <c r="E163" s="201">
        <f>IF($C163,'Proyecto Datos (OKR´s)'!$E163,"")</f>
      </c>
      <c r="F163" s="202">
        <f>IF($C163,'Proyecto Datos (OKR´s)'!$G163,"")</f>
      </c>
      <c r="G163" s="202">
        <f>IF($C163,IF('Proyecto Datos (OKR´s)'!$I163="","(Sin asignar)",'Proyecto Datos (OKR´s)'!$I163),"")</f>
      </c>
      <c r="H163" s="201">
        <f>IF($C163,IF(ISNUMBER('Proyecto Datos (OKR´s)'!$F163),'Proyecto Datos (OKR´s)'!$F163,'Proyecto Datos (OKR´s)'!$L163),"")</f>
      </c>
      <c r="I163" s="201">
        <f>IF($C163,'Proyecto Datos (OKR´s)'!$J163,"")</f>
      </c>
      <c r="J163" s="202">
        <f>IF($C163,IF($I163&gt;=1,"Completado",IF($H163&lt;TODAY(),"Vencido",IF(($H163-TODAY())&lt;='Entregas Próximas'!$M$3,"Próximo a vencer","En curso"))),"")</f>
      </c>
      <c r="K163" s="201">
        <f>IF($C163,$H163-TODAY(),"")</f>
      </c>
      <c r="L163" s="201">
        <f>IF($C163,$AD163*1000000+$H163+ROW()/100000,"")</f>
      </c>
      <c r="M163" s="201">
        <f>IF($C163,IF($AD163=9999,"(Sin sprint)",$AD163),"")</f>
      </c>
      <c r="N163" s="201">
        <f>IF($C163,IF('Proyecto Datos (OKR´s)'!$E163="",9999,'Proyecto Datos (OKR´s)'!$E163),"")</f>
      </c>
      <c r="O163" s="201">
        <f>IF($C163,"T"&amp;TEXT(ROW(),"000"),"")</f>
      </c>
      <c r="R163" s="201">
        <f>IF($C163,IF(ISNUMBER('Proyecto Datos (OKR´s)'!$L163),'Proyecto Datos (OKR´s)'!$L163,$H163),"")</f>
      </c>
      <c r="S163" s="201">
        <f>IF($C163,$R163-'Proyecto Datos (OKR´s)'!$K163+1,"")</f>
      </c>
      <c r="T163" s="201">
        <f>IF($C163,MAX(0,TODAY()-'Proyecto Datos (OKR´s)'!$K163),"")</f>
      </c>
      <c r="U163" s="201">
        <f>IF($C163,MEDIAN(0,(TODAY()-'Proyecto Datos (OKR´s)'!$K163)/MAX(1,$R163-'Proyecto Datos (OKR´s)'!$K163),1),"")</f>
      </c>
      <c r="V163" s="201">
        <f>IF($C163,$I163-$U163,"")</f>
      </c>
      <c r="W163" s="201">
        <f>IF($C163,IF($J163="Completado",0,MAX(0,TODAY()-$H163)),"")</f>
      </c>
      <c r="X163" s="201">
        <f>IF($C163,IF(ISNUMBER($H163),$R163-$H163,0),"")</f>
      </c>
      <c r="Y163" s="201">
        <f>IF($C163,COUNTIFS($G$7:$G$200,$G163,$J$7:$J$200,"&lt;&gt;Completado",$J$7:$J$200,"&lt;&gt;"),"")</f>
      </c>
      <c r="Z163" s="201">
        <f>IF($C163,AND($I163=0,'Proyecto Datos (OKR´s)'!$K163&lt;=TODAY(),$J163&lt;&gt;"Completado"),"")</f>
      </c>
      <c r="AA163" s="201">
        <f>IF($C163,ROUND(100*(0.35*$AK163+0.3*$AL163+0.2*$AM163+0.15*MEDIAN(0,($Y163-4)/8,1)),0),"")</f>
      </c>
      <c r="AB163" s="202">
        <f>IF($C163,IF($J163="Completado","—",IF($AA163&gt;=70,"Crítica",IF($AA163&gt;=45,"Alta",IF($AA163&gt;=25,"Media","Baja")))),"")</f>
      </c>
      <c r="AC163" s="202">
        <f>IF($C163,IF(LEN(TRIM($AN163))=0,"—",TRIM($AN163)),"")</f>
      </c>
      <c r="AD163" s="201">
        <f>IF($C163,IF($N163=9999,9999,IF($J163="Completado",$N163,MAX($N163,'Historial de Sprints'!$C$7))),"")</f>
      </c>
      <c r="AE163" s="201">
        <f>IF($C163,IF($AD163=9999,"(Sin sprint)",$AD163),"")</f>
      </c>
      <c r="AF163" s="201">
        <f>IF($C163,AND($N163&lt;&gt;9999,$AD163&lt;&gt;$N163),FALSE)</f>
      </c>
      <c r="AG163" s="201">
        <f>IF($AF163,'Historial de Sprints'!$C$5+$N163*'Historial de Sprints'!$C$6-1,"")</f>
      </c>
      <c r="AH163" s="202">
        <f>IF($AF163,"No completada al cierre del Sprint "&amp;$N163&amp;" -&gt; reasignada al Sprint "&amp;$AD163,"")</f>
      </c>
      <c r="AI163" s="201">
        <f>IF($AF163,$N163*100000+ROW(),"")</f>
      </c>
      <c r="AJ163" s="201">
        <f>IF($C163,$AA163*1000000-MEDIAN(-9999,$K163,9999)*100+(300-ROW()),"")</f>
      </c>
      <c r="AK163" s="201">
        <f>IF($C163,IF($J163="Completado",0,IF($K163&lt;0,1,IF($K163&lt;=3,0.9,IF($K163&lt;=7,0.7,IF($K163&lt;=14,0.45,0.2))))),"")</f>
      </c>
      <c r="AL163" s="201">
        <f>IF($C163,IF($J163="Completado",0,MEDIAN(0,MAX(-$V163,$W163/30),1)),"")</f>
      </c>
      <c r="AM163" s="201">
        <f>IF($C163,IF($J163="Completado",0,IF($Z163,1,IF(AND($I163&lt;0.5,$K163&lt;=7),0.7,0.3))),"")</f>
      </c>
      <c r="AN163" s="202">
        <f>IF($C163,IF(OR($V163&lt;-0.2,$W163&gt;0),"ATRASO ","")&amp;IF($Z163,"BLOQUEO ","")&amp;IF($Y163&gt;8,"SOBRECARGA ","")&amp;IF($X163&gt;0,"DESVÍO-PLAN ",""),"")</f>
      </c>
    </row>
    <row r="164">
      <c r="A164" s="201">
        <f>ROW()</f>
      </c>
      <c r="B164" s="201">
        <f>ISTEXT('Proyecto Datos (OKR´s)'!$K164)</f>
      </c>
      <c r="C164" s="201">
        <f>AND(LEN('Proyecto Datos (OKR´s)'!$G164)&gt;0,NOT($B164),OR(ISNUMBER('Proyecto Datos (OKR´s)'!$F164),ISNUMBER('Proyecto Datos (OKR´s)'!$L164)))</f>
      </c>
      <c r="D164" s="202">
        <f>IF($C164,IFERROR(LOOKUP(2,1/((ISTEXT('Proyecto Datos (OKR´s)'!$K$7:$K164))*(LEN('Proyecto Datos (OKR´s)'!$G$7:$G164)&gt;0)),'Proyecto Datos (OKR´s)'!$G$7:$G164),""),"")</f>
      </c>
      <c r="E164" s="201">
        <f>IF($C164,'Proyecto Datos (OKR´s)'!$E164,"")</f>
      </c>
      <c r="F164" s="202">
        <f>IF($C164,'Proyecto Datos (OKR´s)'!$G164,"")</f>
      </c>
      <c r="G164" s="202">
        <f>IF($C164,IF('Proyecto Datos (OKR´s)'!$I164="","(Sin asignar)",'Proyecto Datos (OKR´s)'!$I164),"")</f>
      </c>
      <c r="H164" s="201">
        <f>IF($C164,IF(ISNUMBER('Proyecto Datos (OKR´s)'!$F164),'Proyecto Datos (OKR´s)'!$F164,'Proyecto Datos (OKR´s)'!$L164),"")</f>
      </c>
      <c r="I164" s="201">
        <f>IF($C164,'Proyecto Datos (OKR´s)'!$J164,"")</f>
      </c>
      <c r="J164" s="202">
        <f>IF($C164,IF($I164&gt;=1,"Completado",IF($H164&lt;TODAY(),"Vencido",IF(($H164-TODAY())&lt;='Entregas Próximas'!$M$3,"Próximo a vencer","En curso"))),"")</f>
      </c>
      <c r="K164" s="201">
        <f>IF($C164,$H164-TODAY(),"")</f>
      </c>
      <c r="L164" s="201">
        <f>IF($C164,$AD164*1000000+$H164+ROW()/100000,"")</f>
      </c>
      <c r="M164" s="201">
        <f>IF($C164,IF($AD164=9999,"(Sin sprint)",$AD164),"")</f>
      </c>
      <c r="N164" s="201">
        <f>IF($C164,IF('Proyecto Datos (OKR´s)'!$E164="",9999,'Proyecto Datos (OKR´s)'!$E164),"")</f>
      </c>
      <c r="O164" s="201">
        <f>IF($C164,"T"&amp;TEXT(ROW(),"000"),"")</f>
      </c>
      <c r="R164" s="201">
        <f>IF($C164,IF(ISNUMBER('Proyecto Datos (OKR´s)'!$L164),'Proyecto Datos (OKR´s)'!$L164,$H164),"")</f>
      </c>
      <c r="S164" s="201">
        <f>IF($C164,$R164-'Proyecto Datos (OKR´s)'!$K164+1,"")</f>
      </c>
      <c r="T164" s="201">
        <f>IF($C164,MAX(0,TODAY()-'Proyecto Datos (OKR´s)'!$K164),"")</f>
      </c>
      <c r="U164" s="201">
        <f>IF($C164,MEDIAN(0,(TODAY()-'Proyecto Datos (OKR´s)'!$K164)/MAX(1,$R164-'Proyecto Datos (OKR´s)'!$K164),1),"")</f>
      </c>
      <c r="V164" s="201">
        <f>IF($C164,$I164-$U164,"")</f>
      </c>
      <c r="W164" s="201">
        <f>IF($C164,IF($J164="Completado",0,MAX(0,TODAY()-$H164)),"")</f>
      </c>
      <c r="X164" s="201">
        <f>IF($C164,IF(ISNUMBER($H164),$R164-$H164,0),"")</f>
      </c>
      <c r="Y164" s="201">
        <f>IF($C164,COUNTIFS($G$7:$G$200,$G164,$J$7:$J$200,"&lt;&gt;Completado",$J$7:$J$200,"&lt;&gt;"),"")</f>
      </c>
      <c r="Z164" s="201">
        <f>IF($C164,AND($I164=0,'Proyecto Datos (OKR´s)'!$K164&lt;=TODAY(),$J164&lt;&gt;"Completado"),"")</f>
      </c>
      <c r="AA164" s="201">
        <f>IF($C164,ROUND(100*(0.35*$AK164+0.3*$AL164+0.2*$AM164+0.15*MEDIAN(0,($Y164-4)/8,1)),0),"")</f>
      </c>
      <c r="AB164" s="202">
        <f>IF($C164,IF($J164="Completado","—",IF($AA164&gt;=70,"Crítica",IF($AA164&gt;=45,"Alta",IF($AA164&gt;=25,"Media","Baja")))),"")</f>
      </c>
      <c r="AC164" s="202">
        <f>IF($C164,IF(LEN(TRIM($AN164))=0,"—",TRIM($AN164)),"")</f>
      </c>
      <c r="AD164" s="201">
        <f>IF($C164,IF($N164=9999,9999,IF($J164="Completado",$N164,MAX($N164,'Historial de Sprints'!$C$7))),"")</f>
      </c>
      <c r="AE164" s="201">
        <f>IF($C164,IF($AD164=9999,"(Sin sprint)",$AD164),"")</f>
      </c>
      <c r="AF164" s="201">
        <f>IF($C164,AND($N164&lt;&gt;9999,$AD164&lt;&gt;$N164),FALSE)</f>
      </c>
      <c r="AG164" s="201">
        <f>IF($AF164,'Historial de Sprints'!$C$5+$N164*'Historial de Sprints'!$C$6-1,"")</f>
      </c>
      <c r="AH164" s="202">
        <f>IF($AF164,"No completada al cierre del Sprint "&amp;$N164&amp;" -&gt; reasignada al Sprint "&amp;$AD164,"")</f>
      </c>
      <c r="AI164" s="201">
        <f>IF($AF164,$N164*100000+ROW(),"")</f>
      </c>
      <c r="AJ164" s="201">
        <f>IF($C164,$AA164*1000000-MEDIAN(-9999,$K164,9999)*100+(300-ROW()),"")</f>
      </c>
      <c r="AK164" s="201">
        <f>IF($C164,IF($J164="Completado",0,IF($K164&lt;0,1,IF($K164&lt;=3,0.9,IF($K164&lt;=7,0.7,IF($K164&lt;=14,0.45,0.2))))),"")</f>
      </c>
      <c r="AL164" s="201">
        <f>IF($C164,IF($J164="Completado",0,MEDIAN(0,MAX(-$V164,$W164/30),1)),"")</f>
      </c>
      <c r="AM164" s="201">
        <f>IF($C164,IF($J164="Completado",0,IF($Z164,1,IF(AND($I164&lt;0.5,$K164&lt;=7),0.7,0.3))),"")</f>
      </c>
      <c r="AN164" s="202">
        <f>IF($C164,IF(OR($V164&lt;-0.2,$W164&gt;0),"ATRASO ","")&amp;IF($Z164,"BLOQUEO ","")&amp;IF($Y164&gt;8,"SOBRECARGA ","")&amp;IF($X164&gt;0,"DESVÍO-PLAN ",""),"")</f>
      </c>
    </row>
    <row r="165">
      <c r="A165" s="201">
        <f>ROW()</f>
      </c>
      <c r="B165" s="201">
        <f>ISTEXT('Proyecto Datos (OKR´s)'!$K165)</f>
      </c>
      <c r="C165" s="201">
        <f>AND(LEN('Proyecto Datos (OKR´s)'!$G165)&gt;0,NOT($B165),OR(ISNUMBER('Proyecto Datos (OKR´s)'!$F165),ISNUMBER('Proyecto Datos (OKR´s)'!$L165)))</f>
      </c>
      <c r="D165" s="202">
        <f>IF($C165,IFERROR(LOOKUP(2,1/((ISTEXT('Proyecto Datos (OKR´s)'!$K$7:$K165))*(LEN('Proyecto Datos (OKR´s)'!$G$7:$G165)&gt;0)),'Proyecto Datos (OKR´s)'!$G$7:$G165),""),"")</f>
      </c>
      <c r="E165" s="201">
        <f>IF($C165,'Proyecto Datos (OKR´s)'!$E165,"")</f>
      </c>
      <c r="F165" s="202">
        <f>IF($C165,'Proyecto Datos (OKR´s)'!$G165,"")</f>
      </c>
      <c r="G165" s="202">
        <f>IF($C165,IF('Proyecto Datos (OKR´s)'!$I165="","(Sin asignar)",'Proyecto Datos (OKR´s)'!$I165),"")</f>
      </c>
      <c r="H165" s="201">
        <f>IF($C165,IF(ISNUMBER('Proyecto Datos (OKR´s)'!$F165),'Proyecto Datos (OKR´s)'!$F165,'Proyecto Datos (OKR´s)'!$L165),"")</f>
      </c>
      <c r="I165" s="201">
        <f>IF($C165,'Proyecto Datos (OKR´s)'!$J165,"")</f>
      </c>
      <c r="J165" s="202">
        <f>IF($C165,IF($I165&gt;=1,"Completado",IF($H165&lt;TODAY(),"Vencido",IF(($H165-TODAY())&lt;='Entregas Próximas'!$M$3,"Próximo a vencer","En curso"))),"")</f>
      </c>
      <c r="K165" s="201">
        <f>IF($C165,$H165-TODAY(),"")</f>
      </c>
      <c r="L165" s="201">
        <f>IF($C165,$AD165*1000000+$H165+ROW()/100000,"")</f>
      </c>
      <c r="M165" s="201">
        <f>IF($C165,IF($AD165=9999,"(Sin sprint)",$AD165),"")</f>
      </c>
      <c r="N165" s="201">
        <f>IF($C165,IF('Proyecto Datos (OKR´s)'!$E165="",9999,'Proyecto Datos (OKR´s)'!$E165),"")</f>
      </c>
      <c r="O165" s="201">
        <f>IF($C165,"T"&amp;TEXT(ROW(),"000"),"")</f>
      </c>
      <c r="R165" s="201">
        <f>IF($C165,IF(ISNUMBER('Proyecto Datos (OKR´s)'!$L165),'Proyecto Datos (OKR´s)'!$L165,$H165),"")</f>
      </c>
      <c r="S165" s="201">
        <f>IF($C165,$R165-'Proyecto Datos (OKR´s)'!$K165+1,"")</f>
      </c>
      <c r="T165" s="201">
        <f>IF($C165,MAX(0,TODAY()-'Proyecto Datos (OKR´s)'!$K165),"")</f>
      </c>
      <c r="U165" s="201">
        <f>IF($C165,MEDIAN(0,(TODAY()-'Proyecto Datos (OKR´s)'!$K165)/MAX(1,$R165-'Proyecto Datos (OKR´s)'!$K165),1),"")</f>
      </c>
      <c r="V165" s="201">
        <f>IF($C165,$I165-$U165,"")</f>
      </c>
      <c r="W165" s="201">
        <f>IF($C165,IF($J165="Completado",0,MAX(0,TODAY()-$H165)),"")</f>
      </c>
      <c r="X165" s="201">
        <f>IF($C165,IF(ISNUMBER($H165),$R165-$H165,0),"")</f>
      </c>
      <c r="Y165" s="201">
        <f>IF($C165,COUNTIFS($G$7:$G$200,$G165,$J$7:$J$200,"&lt;&gt;Completado",$J$7:$J$200,"&lt;&gt;"),"")</f>
      </c>
      <c r="Z165" s="201">
        <f>IF($C165,AND($I165=0,'Proyecto Datos (OKR´s)'!$K165&lt;=TODAY(),$J165&lt;&gt;"Completado"),"")</f>
      </c>
      <c r="AA165" s="201">
        <f>IF($C165,ROUND(100*(0.35*$AK165+0.3*$AL165+0.2*$AM165+0.15*MEDIAN(0,($Y165-4)/8,1)),0),"")</f>
      </c>
      <c r="AB165" s="202">
        <f>IF($C165,IF($J165="Completado","—",IF($AA165&gt;=70,"Crítica",IF($AA165&gt;=45,"Alta",IF($AA165&gt;=25,"Media","Baja")))),"")</f>
      </c>
      <c r="AC165" s="202">
        <f>IF($C165,IF(LEN(TRIM($AN165))=0,"—",TRIM($AN165)),"")</f>
      </c>
      <c r="AD165" s="201">
        <f>IF($C165,IF($N165=9999,9999,IF($J165="Completado",$N165,MAX($N165,'Historial de Sprints'!$C$7))),"")</f>
      </c>
      <c r="AE165" s="201">
        <f>IF($C165,IF($AD165=9999,"(Sin sprint)",$AD165),"")</f>
      </c>
      <c r="AF165" s="201">
        <f>IF($C165,AND($N165&lt;&gt;9999,$AD165&lt;&gt;$N165),FALSE)</f>
      </c>
      <c r="AG165" s="201">
        <f>IF($AF165,'Historial de Sprints'!$C$5+$N165*'Historial de Sprints'!$C$6-1,"")</f>
      </c>
      <c r="AH165" s="202">
        <f>IF($AF165,"No completada al cierre del Sprint "&amp;$N165&amp;" -&gt; reasignada al Sprint "&amp;$AD165,"")</f>
      </c>
      <c r="AI165" s="201">
        <f>IF($AF165,$N165*100000+ROW(),"")</f>
      </c>
      <c r="AJ165" s="201">
        <f>IF($C165,$AA165*1000000-MEDIAN(-9999,$K165,9999)*100+(300-ROW()),"")</f>
      </c>
      <c r="AK165" s="201">
        <f>IF($C165,IF($J165="Completado",0,IF($K165&lt;0,1,IF($K165&lt;=3,0.9,IF($K165&lt;=7,0.7,IF($K165&lt;=14,0.45,0.2))))),"")</f>
      </c>
      <c r="AL165" s="201">
        <f>IF($C165,IF($J165="Completado",0,MEDIAN(0,MAX(-$V165,$W165/30),1)),"")</f>
      </c>
      <c r="AM165" s="201">
        <f>IF($C165,IF($J165="Completado",0,IF($Z165,1,IF(AND($I165&lt;0.5,$K165&lt;=7),0.7,0.3))),"")</f>
      </c>
      <c r="AN165" s="202">
        <f>IF($C165,IF(OR($V165&lt;-0.2,$W165&gt;0),"ATRASO ","")&amp;IF($Z165,"BLOQUEO ","")&amp;IF($Y165&gt;8,"SOBRECARGA ","")&amp;IF($X165&gt;0,"DESVÍO-PLAN ",""),"")</f>
      </c>
    </row>
    <row r="166">
      <c r="A166" s="201">
        <f>ROW()</f>
      </c>
      <c r="B166" s="201">
        <f>ISTEXT('Proyecto Datos (OKR´s)'!$K166)</f>
      </c>
      <c r="C166" s="201">
        <f>AND(LEN('Proyecto Datos (OKR´s)'!$G166)&gt;0,NOT($B166),OR(ISNUMBER('Proyecto Datos (OKR´s)'!$F166),ISNUMBER('Proyecto Datos (OKR´s)'!$L166)))</f>
      </c>
      <c r="D166" s="202">
        <f>IF($C166,IFERROR(LOOKUP(2,1/((ISTEXT('Proyecto Datos (OKR´s)'!$K$7:$K166))*(LEN('Proyecto Datos (OKR´s)'!$G$7:$G166)&gt;0)),'Proyecto Datos (OKR´s)'!$G$7:$G166),""),"")</f>
      </c>
      <c r="E166" s="201">
        <f>IF($C166,'Proyecto Datos (OKR´s)'!$E166,"")</f>
      </c>
      <c r="F166" s="202">
        <f>IF($C166,'Proyecto Datos (OKR´s)'!$G166,"")</f>
      </c>
      <c r="G166" s="202">
        <f>IF($C166,IF('Proyecto Datos (OKR´s)'!$I166="","(Sin asignar)",'Proyecto Datos (OKR´s)'!$I166),"")</f>
      </c>
      <c r="H166" s="201">
        <f>IF($C166,IF(ISNUMBER('Proyecto Datos (OKR´s)'!$F166),'Proyecto Datos (OKR´s)'!$F166,'Proyecto Datos (OKR´s)'!$L166),"")</f>
      </c>
      <c r="I166" s="201">
        <f>IF($C166,'Proyecto Datos (OKR´s)'!$J166,"")</f>
      </c>
      <c r="J166" s="202">
        <f>IF($C166,IF($I166&gt;=1,"Completado",IF($H166&lt;TODAY(),"Vencido",IF(($H166-TODAY())&lt;='Entregas Próximas'!$M$3,"Próximo a vencer","En curso"))),"")</f>
      </c>
      <c r="K166" s="201">
        <f>IF($C166,$H166-TODAY(),"")</f>
      </c>
      <c r="L166" s="201">
        <f>IF($C166,$AD166*1000000+$H166+ROW()/100000,"")</f>
      </c>
      <c r="M166" s="201">
        <f>IF($C166,IF($AD166=9999,"(Sin sprint)",$AD166),"")</f>
      </c>
      <c r="N166" s="201">
        <f>IF($C166,IF('Proyecto Datos (OKR´s)'!$E166="",9999,'Proyecto Datos (OKR´s)'!$E166),"")</f>
      </c>
      <c r="O166" s="201">
        <f>IF($C166,"T"&amp;TEXT(ROW(),"000"),"")</f>
      </c>
      <c r="R166" s="201">
        <f>IF($C166,IF(ISNUMBER('Proyecto Datos (OKR´s)'!$L166),'Proyecto Datos (OKR´s)'!$L166,$H166),"")</f>
      </c>
      <c r="S166" s="201">
        <f>IF($C166,$R166-'Proyecto Datos (OKR´s)'!$K166+1,"")</f>
      </c>
      <c r="T166" s="201">
        <f>IF($C166,MAX(0,TODAY()-'Proyecto Datos (OKR´s)'!$K166),"")</f>
      </c>
      <c r="U166" s="201">
        <f>IF($C166,MEDIAN(0,(TODAY()-'Proyecto Datos (OKR´s)'!$K166)/MAX(1,$R166-'Proyecto Datos (OKR´s)'!$K166),1),"")</f>
      </c>
      <c r="V166" s="201">
        <f>IF($C166,$I166-$U166,"")</f>
      </c>
      <c r="W166" s="201">
        <f>IF($C166,IF($J166="Completado",0,MAX(0,TODAY()-$H166)),"")</f>
      </c>
      <c r="X166" s="201">
        <f>IF($C166,IF(ISNUMBER($H166),$R166-$H166,0),"")</f>
      </c>
      <c r="Y166" s="201">
        <f>IF($C166,COUNTIFS($G$7:$G$200,$G166,$J$7:$J$200,"&lt;&gt;Completado",$J$7:$J$200,"&lt;&gt;"),"")</f>
      </c>
      <c r="Z166" s="201">
        <f>IF($C166,AND($I166=0,'Proyecto Datos (OKR´s)'!$K166&lt;=TODAY(),$J166&lt;&gt;"Completado"),"")</f>
      </c>
      <c r="AA166" s="201">
        <f>IF($C166,ROUND(100*(0.35*$AK166+0.3*$AL166+0.2*$AM166+0.15*MEDIAN(0,($Y166-4)/8,1)),0),"")</f>
      </c>
      <c r="AB166" s="202">
        <f>IF($C166,IF($J166="Completado","—",IF($AA166&gt;=70,"Crítica",IF($AA166&gt;=45,"Alta",IF($AA166&gt;=25,"Media","Baja")))),"")</f>
      </c>
      <c r="AC166" s="202">
        <f>IF($C166,IF(LEN(TRIM($AN166))=0,"—",TRIM($AN166)),"")</f>
      </c>
      <c r="AD166" s="201">
        <f>IF($C166,IF($N166=9999,9999,IF($J166="Completado",$N166,MAX($N166,'Historial de Sprints'!$C$7))),"")</f>
      </c>
      <c r="AE166" s="201">
        <f>IF($C166,IF($AD166=9999,"(Sin sprint)",$AD166),"")</f>
      </c>
      <c r="AF166" s="201">
        <f>IF($C166,AND($N166&lt;&gt;9999,$AD166&lt;&gt;$N166),FALSE)</f>
      </c>
      <c r="AG166" s="201">
        <f>IF($AF166,'Historial de Sprints'!$C$5+$N166*'Historial de Sprints'!$C$6-1,"")</f>
      </c>
      <c r="AH166" s="202">
        <f>IF($AF166,"No completada al cierre del Sprint "&amp;$N166&amp;" -&gt; reasignada al Sprint "&amp;$AD166,"")</f>
      </c>
      <c r="AI166" s="201">
        <f>IF($AF166,$N166*100000+ROW(),"")</f>
      </c>
      <c r="AJ166" s="201">
        <f>IF($C166,$AA166*1000000-MEDIAN(-9999,$K166,9999)*100+(300-ROW()),"")</f>
      </c>
      <c r="AK166" s="201">
        <f>IF($C166,IF($J166="Completado",0,IF($K166&lt;0,1,IF($K166&lt;=3,0.9,IF($K166&lt;=7,0.7,IF($K166&lt;=14,0.45,0.2))))),"")</f>
      </c>
      <c r="AL166" s="201">
        <f>IF($C166,IF($J166="Completado",0,MEDIAN(0,MAX(-$V166,$W166/30),1)),"")</f>
      </c>
      <c r="AM166" s="201">
        <f>IF($C166,IF($J166="Completado",0,IF($Z166,1,IF(AND($I166&lt;0.5,$K166&lt;=7),0.7,0.3))),"")</f>
      </c>
      <c r="AN166" s="202">
        <f>IF($C166,IF(OR($V166&lt;-0.2,$W166&gt;0),"ATRASO ","")&amp;IF($Z166,"BLOQUEO ","")&amp;IF($Y166&gt;8,"SOBRECARGA ","")&amp;IF($X166&gt;0,"DESVÍO-PLAN ",""),"")</f>
      </c>
    </row>
    <row r="167">
      <c r="A167" s="201">
        <f>ROW()</f>
      </c>
      <c r="B167" s="201">
        <f>ISTEXT('Proyecto Datos (OKR´s)'!$K167)</f>
      </c>
      <c r="C167" s="201">
        <f>AND(LEN('Proyecto Datos (OKR´s)'!$G167)&gt;0,NOT($B167),OR(ISNUMBER('Proyecto Datos (OKR´s)'!$F167),ISNUMBER('Proyecto Datos (OKR´s)'!$L167)))</f>
      </c>
      <c r="D167" s="202">
        <f>IF($C167,IFERROR(LOOKUP(2,1/((ISTEXT('Proyecto Datos (OKR´s)'!$K$7:$K167))*(LEN('Proyecto Datos (OKR´s)'!$G$7:$G167)&gt;0)),'Proyecto Datos (OKR´s)'!$G$7:$G167),""),"")</f>
      </c>
      <c r="E167" s="201">
        <f>IF($C167,'Proyecto Datos (OKR´s)'!$E167,"")</f>
      </c>
      <c r="F167" s="202">
        <f>IF($C167,'Proyecto Datos (OKR´s)'!$G167,"")</f>
      </c>
      <c r="G167" s="202">
        <f>IF($C167,IF('Proyecto Datos (OKR´s)'!$I167="","(Sin asignar)",'Proyecto Datos (OKR´s)'!$I167),"")</f>
      </c>
      <c r="H167" s="201">
        <f>IF($C167,IF(ISNUMBER('Proyecto Datos (OKR´s)'!$F167),'Proyecto Datos (OKR´s)'!$F167,'Proyecto Datos (OKR´s)'!$L167),"")</f>
      </c>
      <c r="I167" s="201">
        <f>IF($C167,'Proyecto Datos (OKR´s)'!$J167,"")</f>
      </c>
      <c r="J167" s="202">
        <f>IF($C167,IF($I167&gt;=1,"Completado",IF($H167&lt;TODAY(),"Vencido",IF(($H167-TODAY())&lt;='Entregas Próximas'!$M$3,"Próximo a vencer","En curso"))),"")</f>
      </c>
      <c r="K167" s="201">
        <f>IF($C167,$H167-TODAY(),"")</f>
      </c>
      <c r="L167" s="201">
        <f>IF($C167,$AD167*1000000+$H167+ROW()/100000,"")</f>
      </c>
      <c r="M167" s="201">
        <f>IF($C167,IF($AD167=9999,"(Sin sprint)",$AD167),"")</f>
      </c>
      <c r="N167" s="201">
        <f>IF($C167,IF('Proyecto Datos (OKR´s)'!$E167="",9999,'Proyecto Datos (OKR´s)'!$E167),"")</f>
      </c>
      <c r="O167" s="201">
        <f>IF($C167,"T"&amp;TEXT(ROW(),"000"),"")</f>
      </c>
      <c r="R167" s="201">
        <f>IF($C167,IF(ISNUMBER('Proyecto Datos (OKR´s)'!$L167),'Proyecto Datos (OKR´s)'!$L167,$H167),"")</f>
      </c>
      <c r="S167" s="201">
        <f>IF($C167,$R167-'Proyecto Datos (OKR´s)'!$K167+1,"")</f>
      </c>
      <c r="T167" s="201">
        <f>IF($C167,MAX(0,TODAY()-'Proyecto Datos (OKR´s)'!$K167),"")</f>
      </c>
      <c r="U167" s="201">
        <f>IF($C167,MEDIAN(0,(TODAY()-'Proyecto Datos (OKR´s)'!$K167)/MAX(1,$R167-'Proyecto Datos (OKR´s)'!$K167),1),"")</f>
      </c>
      <c r="V167" s="201">
        <f>IF($C167,$I167-$U167,"")</f>
      </c>
      <c r="W167" s="201">
        <f>IF($C167,IF($J167="Completado",0,MAX(0,TODAY()-$H167)),"")</f>
      </c>
      <c r="X167" s="201">
        <f>IF($C167,IF(ISNUMBER($H167),$R167-$H167,0),"")</f>
      </c>
      <c r="Y167" s="201">
        <f>IF($C167,COUNTIFS($G$7:$G$200,$G167,$J$7:$J$200,"&lt;&gt;Completado",$J$7:$J$200,"&lt;&gt;"),"")</f>
      </c>
      <c r="Z167" s="201">
        <f>IF($C167,AND($I167=0,'Proyecto Datos (OKR´s)'!$K167&lt;=TODAY(),$J167&lt;&gt;"Completado"),"")</f>
      </c>
      <c r="AA167" s="201">
        <f>IF($C167,ROUND(100*(0.35*$AK167+0.3*$AL167+0.2*$AM167+0.15*MEDIAN(0,($Y167-4)/8,1)),0),"")</f>
      </c>
      <c r="AB167" s="202">
        <f>IF($C167,IF($J167="Completado","—",IF($AA167&gt;=70,"Crítica",IF($AA167&gt;=45,"Alta",IF($AA167&gt;=25,"Media","Baja")))),"")</f>
      </c>
      <c r="AC167" s="202">
        <f>IF($C167,IF(LEN(TRIM($AN167))=0,"—",TRIM($AN167)),"")</f>
      </c>
      <c r="AD167" s="201">
        <f>IF($C167,IF($N167=9999,9999,IF($J167="Completado",$N167,MAX($N167,'Historial de Sprints'!$C$7))),"")</f>
      </c>
      <c r="AE167" s="201">
        <f>IF($C167,IF($AD167=9999,"(Sin sprint)",$AD167),"")</f>
      </c>
      <c r="AF167" s="201">
        <f>IF($C167,AND($N167&lt;&gt;9999,$AD167&lt;&gt;$N167),FALSE)</f>
      </c>
      <c r="AG167" s="201">
        <f>IF($AF167,'Historial de Sprints'!$C$5+$N167*'Historial de Sprints'!$C$6-1,"")</f>
      </c>
      <c r="AH167" s="202">
        <f>IF($AF167,"No completada al cierre del Sprint "&amp;$N167&amp;" -&gt; reasignada al Sprint "&amp;$AD167,"")</f>
      </c>
      <c r="AI167" s="201">
        <f>IF($AF167,$N167*100000+ROW(),"")</f>
      </c>
      <c r="AJ167" s="201">
        <f>IF($C167,$AA167*1000000-MEDIAN(-9999,$K167,9999)*100+(300-ROW()),"")</f>
      </c>
      <c r="AK167" s="201">
        <f>IF($C167,IF($J167="Completado",0,IF($K167&lt;0,1,IF($K167&lt;=3,0.9,IF($K167&lt;=7,0.7,IF($K167&lt;=14,0.45,0.2))))),"")</f>
      </c>
      <c r="AL167" s="201">
        <f>IF($C167,IF($J167="Completado",0,MEDIAN(0,MAX(-$V167,$W167/30),1)),"")</f>
      </c>
      <c r="AM167" s="201">
        <f>IF($C167,IF($J167="Completado",0,IF($Z167,1,IF(AND($I167&lt;0.5,$K167&lt;=7),0.7,0.3))),"")</f>
      </c>
      <c r="AN167" s="202">
        <f>IF($C167,IF(OR($V167&lt;-0.2,$W167&gt;0),"ATRASO ","")&amp;IF($Z167,"BLOQUEO ","")&amp;IF($Y167&gt;8,"SOBRECARGA ","")&amp;IF($X167&gt;0,"DESVÍO-PLAN ",""),"")</f>
      </c>
    </row>
    <row r="168">
      <c r="A168" s="201">
        <f>ROW()</f>
      </c>
      <c r="B168" s="201">
        <f>ISTEXT('Proyecto Datos (OKR´s)'!$K168)</f>
      </c>
      <c r="C168" s="201">
        <f>AND(LEN('Proyecto Datos (OKR´s)'!$G168)&gt;0,NOT($B168),OR(ISNUMBER('Proyecto Datos (OKR´s)'!$F168),ISNUMBER('Proyecto Datos (OKR´s)'!$L168)))</f>
      </c>
      <c r="D168" s="202">
        <f>IF($C168,IFERROR(LOOKUP(2,1/((ISTEXT('Proyecto Datos (OKR´s)'!$K$7:$K168))*(LEN('Proyecto Datos (OKR´s)'!$G$7:$G168)&gt;0)),'Proyecto Datos (OKR´s)'!$G$7:$G168),""),"")</f>
      </c>
      <c r="E168" s="201">
        <f>IF($C168,'Proyecto Datos (OKR´s)'!$E168,"")</f>
      </c>
      <c r="F168" s="202">
        <f>IF($C168,'Proyecto Datos (OKR´s)'!$G168,"")</f>
      </c>
      <c r="G168" s="202">
        <f>IF($C168,IF('Proyecto Datos (OKR´s)'!$I168="","(Sin asignar)",'Proyecto Datos (OKR´s)'!$I168),"")</f>
      </c>
      <c r="H168" s="201">
        <f>IF($C168,IF(ISNUMBER('Proyecto Datos (OKR´s)'!$F168),'Proyecto Datos (OKR´s)'!$F168,'Proyecto Datos (OKR´s)'!$L168),"")</f>
      </c>
      <c r="I168" s="201">
        <f>IF($C168,'Proyecto Datos (OKR´s)'!$J168,"")</f>
      </c>
      <c r="J168" s="202">
        <f>IF($C168,IF($I168&gt;=1,"Completado",IF($H168&lt;TODAY(),"Vencido",IF(($H168-TODAY())&lt;='Entregas Próximas'!$M$3,"Próximo a vencer","En curso"))),"")</f>
      </c>
      <c r="K168" s="201">
        <f>IF($C168,$H168-TODAY(),"")</f>
      </c>
      <c r="L168" s="201">
        <f>IF($C168,$AD168*1000000+$H168+ROW()/100000,"")</f>
      </c>
      <c r="M168" s="201">
        <f>IF($C168,IF($AD168=9999,"(Sin sprint)",$AD168),"")</f>
      </c>
      <c r="N168" s="201">
        <f>IF($C168,IF('Proyecto Datos (OKR´s)'!$E168="",9999,'Proyecto Datos (OKR´s)'!$E168),"")</f>
      </c>
      <c r="O168" s="201">
        <f>IF($C168,"T"&amp;TEXT(ROW(),"000"),"")</f>
      </c>
      <c r="R168" s="201">
        <f>IF($C168,IF(ISNUMBER('Proyecto Datos (OKR´s)'!$L168),'Proyecto Datos (OKR´s)'!$L168,$H168),"")</f>
      </c>
      <c r="S168" s="201">
        <f>IF($C168,$R168-'Proyecto Datos (OKR´s)'!$K168+1,"")</f>
      </c>
      <c r="T168" s="201">
        <f>IF($C168,MAX(0,TODAY()-'Proyecto Datos (OKR´s)'!$K168),"")</f>
      </c>
      <c r="U168" s="201">
        <f>IF($C168,MEDIAN(0,(TODAY()-'Proyecto Datos (OKR´s)'!$K168)/MAX(1,$R168-'Proyecto Datos (OKR´s)'!$K168),1),"")</f>
      </c>
      <c r="V168" s="201">
        <f>IF($C168,$I168-$U168,"")</f>
      </c>
      <c r="W168" s="201">
        <f>IF($C168,IF($J168="Completado",0,MAX(0,TODAY()-$H168)),"")</f>
      </c>
      <c r="X168" s="201">
        <f>IF($C168,IF(ISNUMBER($H168),$R168-$H168,0),"")</f>
      </c>
      <c r="Y168" s="201">
        <f>IF($C168,COUNTIFS($G$7:$G$200,$G168,$J$7:$J$200,"&lt;&gt;Completado",$J$7:$J$200,"&lt;&gt;"),"")</f>
      </c>
      <c r="Z168" s="201">
        <f>IF($C168,AND($I168=0,'Proyecto Datos (OKR´s)'!$K168&lt;=TODAY(),$J168&lt;&gt;"Completado"),"")</f>
      </c>
      <c r="AA168" s="201">
        <f>IF($C168,ROUND(100*(0.35*$AK168+0.3*$AL168+0.2*$AM168+0.15*MEDIAN(0,($Y168-4)/8,1)),0),"")</f>
      </c>
      <c r="AB168" s="202">
        <f>IF($C168,IF($J168="Completado","—",IF($AA168&gt;=70,"Crítica",IF($AA168&gt;=45,"Alta",IF($AA168&gt;=25,"Media","Baja")))),"")</f>
      </c>
      <c r="AC168" s="202">
        <f>IF($C168,IF(LEN(TRIM($AN168))=0,"—",TRIM($AN168)),"")</f>
      </c>
      <c r="AD168" s="201">
        <f>IF($C168,IF($N168=9999,9999,IF($J168="Completado",$N168,MAX($N168,'Historial de Sprints'!$C$7))),"")</f>
      </c>
      <c r="AE168" s="201">
        <f>IF($C168,IF($AD168=9999,"(Sin sprint)",$AD168),"")</f>
      </c>
      <c r="AF168" s="201">
        <f>IF($C168,AND($N168&lt;&gt;9999,$AD168&lt;&gt;$N168),FALSE)</f>
      </c>
      <c r="AG168" s="201">
        <f>IF($AF168,'Historial de Sprints'!$C$5+$N168*'Historial de Sprints'!$C$6-1,"")</f>
      </c>
      <c r="AH168" s="202">
        <f>IF($AF168,"No completada al cierre del Sprint "&amp;$N168&amp;" -&gt; reasignada al Sprint "&amp;$AD168,"")</f>
      </c>
      <c r="AI168" s="201">
        <f>IF($AF168,$N168*100000+ROW(),"")</f>
      </c>
      <c r="AJ168" s="201">
        <f>IF($C168,$AA168*1000000-MEDIAN(-9999,$K168,9999)*100+(300-ROW()),"")</f>
      </c>
      <c r="AK168" s="201">
        <f>IF($C168,IF($J168="Completado",0,IF($K168&lt;0,1,IF($K168&lt;=3,0.9,IF($K168&lt;=7,0.7,IF($K168&lt;=14,0.45,0.2))))),"")</f>
      </c>
      <c r="AL168" s="201">
        <f>IF($C168,IF($J168="Completado",0,MEDIAN(0,MAX(-$V168,$W168/30),1)),"")</f>
      </c>
      <c r="AM168" s="201">
        <f>IF($C168,IF($J168="Completado",0,IF($Z168,1,IF(AND($I168&lt;0.5,$K168&lt;=7),0.7,0.3))),"")</f>
      </c>
      <c r="AN168" s="202">
        <f>IF($C168,IF(OR($V168&lt;-0.2,$W168&gt;0),"ATRASO ","")&amp;IF($Z168,"BLOQUEO ","")&amp;IF($Y168&gt;8,"SOBRECARGA ","")&amp;IF($X168&gt;0,"DESVÍO-PLAN ",""),"")</f>
      </c>
    </row>
    <row r="169">
      <c r="A169" s="201">
        <f>ROW()</f>
      </c>
      <c r="B169" s="201">
        <f>ISTEXT('Proyecto Datos (OKR´s)'!$K169)</f>
      </c>
      <c r="C169" s="201">
        <f>AND(LEN('Proyecto Datos (OKR´s)'!$G169)&gt;0,NOT($B169),OR(ISNUMBER('Proyecto Datos (OKR´s)'!$F169),ISNUMBER('Proyecto Datos (OKR´s)'!$L169)))</f>
      </c>
      <c r="D169" s="202">
        <f>IF($C169,IFERROR(LOOKUP(2,1/((ISTEXT('Proyecto Datos (OKR´s)'!$K$7:$K169))*(LEN('Proyecto Datos (OKR´s)'!$G$7:$G169)&gt;0)),'Proyecto Datos (OKR´s)'!$G$7:$G169),""),"")</f>
      </c>
      <c r="E169" s="201">
        <f>IF($C169,'Proyecto Datos (OKR´s)'!$E169,"")</f>
      </c>
      <c r="F169" s="202">
        <f>IF($C169,'Proyecto Datos (OKR´s)'!$G169,"")</f>
      </c>
      <c r="G169" s="202">
        <f>IF($C169,IF('Proyecto Datos (OKR´s)'!$I169="","(Sin asignar)",'Proyecto Datos (OKR´s)'!$I169),"")</f>
      </c>
      <c r="H169" s="201">
        <f>IF($C169,IF(ISNUMBER('Proyecto Datos (OKR´s)'!$F169),'Proyecto Datos (OKR´s)'!$F169,'Proyecto Datos (OKR´s)'!$L169),"")</f>
      </c>
      <c r="I169" s="201">
        <f>IF($C169,'Proyecto Datos (OKR´s)'!$J169,"")</f>
      </c>
      <c r="J169" s="202">
        <f>IF($C169,IF($I169&gt;=1,"Completado",IF($H169&lt;TODAY(),"Vencido",IF(($H169-TODAY())&lt;='Entregas Próximas'!$M$3,"Próximo a vencer","En curso"))),"")</f>
      </c>
      <c r="K169" s="201">
        <f>IF($C169,$H169-TODAY(),"")</f>
      </c>
      <c r="L169" s="201">
        <f>IF($C169,$AD169*1000000+$H169+ROW()/100000,"")</f>
      </c>
      <c r="M169" s="201">
        <f>IF($C169,IF($AD169=9999,"(Sin sprint)",$AD169),"")</f>
      </c>
      <c r="N169" s="201">
        <f>IF($C169,IF('Proyecto Datos (OKR´s)'!$E169="",9999,'Proyecto Datos (OKR´s)'!$E169),"")</f>
      </c>
      <c r="O169" s="201">
        <f>IF($C169,"T"&amp;TEXT(ROW(),"000"),"")</f>
      </c>
      <c r="R169" s="201">
        <f>IF($C169,IF(ISNUMBER('Proyecto Datos (OKR´s)'!$L169),'Proyecto Datos (OKR´s)'!$L169,$H169),"")</f>
      </c>
      <c r="S169" s="201">
        <f>IF($C169,$R169-'Proyecto Datos (OKR´s)'!$K169+1,"")</f>
      </c>
      <c r="T169" s="201">
        <f>IF($C169,MAX(0,TODAY()-'Proyecto Datos (OKR´s)'!$K169),"")</f>
      </c>
      <c r="U169" s="201">
        <f>IF($C169,MEDIAN(0,(TODAY()-'Proyecto Datos (OKR´s)'!$K169)/MAX(1,$R169-'Proyecto Datos (OKR´s)'!$K169),1),"")</f>
      </c>
      <c r="V169" s="201">
        <f>IF($C169,$I169-$U169,"")</f>
      </c>
      <c r="W169" s="201">
        <f>IF($C169,IF($J169="Completado",0,MAX(0,TODAY()-$H169)),"")</f>
      </c>
      <c r="X169" s="201">
        <f>IF($C169,IF(ISNUMBER($H169),$R169-$H169,0),"")</f>
      </c>
      <c r="Y169" s="201">
        <f>IF($C169,COUNTIFS($G$7:$G$200,$G169,$J$7:$J$200,"&lt;&gt;Completado",$J$7:$J$200,"&lt;&gt;"),"")</f>
      </c>
      <c r="Z169" s="201">
        <f>IF($C169,AND($I169=0,'Proyecto Datos (OKR´s)'!$K169&lt;=TODAY(),$J169&lt;&gt;"Completado"),"")</f>
      </c>
      <c r="AA169" s="201">
        <f>IF($C169,ROUND(100*(0.35*$AK169+0.3*$AL169+0.2*$AM169+0.15*MEDIAN(0,($Y169-4)/8,1)),0),"")</f>
      </c>
      <c r="AB169" s="202">
        <f>IF($C169,IF($J169="Completado","—",IF($AA169&gt;=70,"Crítica",IF($AA169&gt;=45,"Alta",IF($AA169&gt;=25,"Media","Baja")))),"")</f>
      </c>
      <c r="AC169" s="202">
        <f>IF($C169,IF(LEN(TRIM($AN169))=0,"—",TRIM($AN169)),"")</f>
      </c>
      <c r="AD169" s="201">
        <f>IF($C169,IF($N169=9999,9999,IF($J169="Completado",$N169,MAX($N169,'Historial de Sprints'!$C$7))),"")</f>
      </c>
      <c r="AE169" s="201">
        <f>IF($C169,IF($AD169=9999,"(Sin sprint)",$AD169),"")</f>
      </c>
      <c r="AF169" s="201">
        <f>IF($C169,AND($N169&lt;&gt;9999,$AD169&lt;&gt;$N169),FALSE)</f>
      </c>
      <c r="AG169" s="201">
        <f>IF($AF169,'Historial de Sprints'!$C$5+$N169*'Historial de Sprints'!$C$6-1,"")</f>
      </c>
      <c r="AH169" s="202">
        <f>IF($AF169,"No completada al cierre del Sprint "&amp;$N169&amp;" -&gt; reasignada al Sprint "&amp;$AD169,"")</f>
      </c>
      <c r="AI169" s="201">
        <f>IF($AF169,$N169*100000+ROW(),"")</f>
      </c>
      <c r="AJ169" s="201">
        <f>IF($C169,$AA169*1000000-MEDIAN(-9999,$K169,9999)*100+(300-ROW()),"")</f>
      </c>
      <c r="AK169" s="201">
        <f>IF($C169,IF($J169="Completado",0,IF($K169&lt;0,1,IF($K169&lt;=3,0.9,IF($K169&lt;=7,0.7,IF($K169&lt;=14,0.45,0.2))))),"")</f>
      </c>
      <c r="AL169" s="201">
        <f>IF($C169,IF($J169="Completado",0,MEDIAN(0,MAX(-$V169,$W169/30),1)),"")</f>
      </c>
      <c r="AM169" s="201">
        <f>IF($C169,IF($J169="Completado",0,IF($Z169,1,IF(AND($I169&lt;0.5,$K169&lt;=7),0.7,0.3))),"")</f>
      </c>
      <c r="AN169" s="202">
        <f>IF($C169,IF(OR($V169&lt;-0.2,$W169&gt;0),"ATRASO ","")&amp;IF($Z169,"BLOQUEO ","")&amp;IF($Y169&gt;8,"SOBRECARGA ","")&amp;IF($X169&gt;0,"DESVÍO-PLAN ",""),"")</f>
      </c>
    </row>
    <row r="170">
      <c r="A170" s="201">
        <f>ROW()</f>
      </c>
      <c r="B170" s="201">
        <f>ISTEXT('Proyecto Datos (OKR´s)'!$K170)</f>
      </c>
      <c r="C170" s="201">
        <f>AND(LEN('Proyecto Datos (OKR´s)'!$G170)&gt;0,NOT($B170),OR(ISNUMBER('Proyecto Datos (OKR´s)'!$F170),ISNUMBER('Proyecto Datos (OKR´s)'!$L170)))</f>
      </c>
      <c r="D170" s="202">
        <f>IF($C170,IFERROR(LOOKUP(2,1/((ISTEXT('Proyecto Datos (OKR´s)'!$K$7:$K170))*(LEN('Proyecto Datos (OKR´s)'!$G$7:$G170)&gt;0)),'Proyecto Datos (OKR´s)'!$G$7:$G170),""),"")</f>
      </c>
      <c r="E170" s="201">
        <f>IF($C170,'Proyecto Datos (OKR´s)'!$E170,"")</f>
      </c>
      <c r="F170" s="202">
        <f>IF($C170,'Proyecto Datos (OKR´s)'!$G170,"")</f>
      </c>
      <c r="G170" s="202">
        <f>IF($C170,IF('Proyecto Datos (OKR´s)'!$I170="","(Sin asignar)",'Proyecto Datos (OKR´s)'!$I170),"")</f>
      </c>
      <c r="H170" s="201">
        <f>IF($C170,IF(ISNUMBER('Proyecto Datos (OKR´s)'!$F170),'Proyecto Datos (OKR´s)'!$F170,'Proyecto Datos (OKR´s)'!$L170),"")</f>
      </c>
      <c r="I170" s="201">
        <f>IF($C170,'Proyecto Datos (OKR´s)'!$J170,"")</f>
      </c>
      <c r="J170" s="202">
        <f>IF($C170,IF($I170&gt;=1,"Completado",IF($H170&lt;TODAY(),"Vencido",IF(($H170-TODAY())&lt;='Entregas Próximas'!$M$3,"Próximo a vencer","En curso"))),"")</f>
      </c>
      <c r="K170" s="201">
        <f>IF($C170,$H170-TODAY(),"")</f>
      </c>
      <c r="L170" s="201">
        <f>IF($C170,$AD170*1000000+$H170+ROW()/100000,"")</f>
      </c>
      <c r="M170" s="201">
        <f>IF($C170,IF($AD170=9999,"(Sin sprint)",$AD170),"")</f>
      </c>
      <c r="N170" s="201">
        <f>IF($C170,IF('Proyecto Datos (OKR´s)'!$E170="",9999,'Proyecto Datos (OKR´s)'!$E170),"")</f>
      </c>
      <c r="O170" s="201">
        <f>IF($C170,"T"&amp;TEXT(ROW(),"000"),"")</f>
      </c>
      <c r="R170" s="201">
        <f>IF($C170,IF(ISNUMBER('Proyecto Datos (OKR´s)'!$L170),'Proyecto Datos (OKR´s)'!$L170,$H170),"")</f>
      </c>
      <c r="S170" s="201">
        <f>IF($C170,$R170-'Proyecto Datos (OKR´s)'!$K170+1,"")</f>
      </c>
      <c r="T170" s="201">
        <f>IF($C170,MAX(0,TODAY()-'Proyecto Datos (OKR´s)'!$K170),"")</f>
      </c>
      <c r="U170" s="201">
        <f>IF($C170,MEDIAN(0,(TODAY()-'Proyecto Datos (OKR´s)'!$K170)/MAX(1,$R170-'Proyecto Datos (OKR´s)'!$K170),1),"")</f>
      </c>
      <c r="V170" s="201">
        <f>IF($C170,$I170-$U170,"")</f>
      </c>
      <c r="W170" s="201">
        <f>IF($C170,IF($J170="Completado",0,MAX(0,TODAY()-$H170)),"")</f>
      </c>
      <c r="X170" s="201">
        <f>IF($C170,IF(ISNUMBER($H170),$R170-$H170,0),"")</f>
      </c>
      <c r="Y170" s="201">
        <f>IF($C170,COUNTIFS($G$7:$G$200,$G170,$J$7:$J$200,"&lt;&gt;Completado",$J$7:$J$200,"&lt;&gt;"),"")</f>
      </c>
      <c r="Z170" s="201">
        <f>IF($C170,AND($I170=0,'Proyecto Datos (OKR´s)'!$K170&lt;=TODAY(),$J170&lt;&gt;"Completado"),"")</f>
      </c>
      <c r="AA170" s="201">
        <f>IF($C170,ROUND(100*(0.35*$AK170+0.3*$AL170+0.2*$AM170+0.15*MEDIAN(0,($Y170-4)/8,1)),0),"")</f>
      </c>
      <c r="AB170" s="202">
        <f>IF($C170,IF($J170="Completado","—",IF($AA170&gt;=70,"Crítica",IF($AA170&gt;=45,"Alta",IF($AA170&gt;=25,"Media","Baja")))),"")</f>
      </c>
      <c r="AC170" s="202">
        <f>IF($C170,IF(LEN(TRIM($AN170))=0,"—",TRIM($AN170)),"")</f>
      </c>
      <c r="AD170" s="201">
        <f>IF($C170,IF($N170=9999,9999,IF($J170="Completado",$N170,MAX($N170,'Historial de Sprints'!$C$7))),"")</f>
      </c>
      <c r="AE170" s="201">
        <f>IF($C170,IF($AD170=9999,"(Sin sprint)",$AD170),"")</f>
      </c>
      <c r="AF170" s="201">
        <f>IF($C170,AND($N170&lt;&gt;9999,$AD170&lt;&gt;$N170),FALSE)</f>
      </c>
      <c r="AG170" s="201">
        <f>IF($AF170,'Historial de Sprints'!$C$5+$N170*'Historial de Sprints'!$C$6-1,"")</f>
      </c>
      <c r="AH170" s="202">
        <f>IF($AF170,"No completada al cierre del Sprint "&amp;$N170&amp;" -&gt; reasignada al Sprint "&amp;$AD170,"")</f>
      </c>
      <c r="AI170" s="201">
        <f>IF($AF170,$N170*100000+ROW(),"")</f>
      </c>
      <c r="AJ170" s="201">
        <f>IF($C170,$AA170*1000000-MEDIAN(-9999,$K170,9999)*100+(300-ROW()),"")</f>
      </c>
      <c r="AK170" s="201">
        <f>IF($C170,IF($J170="Completado",0,IF($K170&lt;0,1,IF($K170&lt;=3,0.9,IF($K170&lt;=7,0.7,IF($K170&lt;=14,0.45,0.2))))),"")</f>
      </c>
      <c r="AL170" s="201">
        <f>IF($C170,IF($J170="Completado",0,MEDIAN(0,MAX(-$V170,$W170/30),1)),"")</f>
      </c>
      <c r="AM170" s="201">
        <f>IF($C170,IF($J170="Completado",0,IF($Z170,1,IF(AND($I170&lt;0.5,$K170&lt;=7),0.7,0.3))),"")</f>
      </c>
      <c r="AN170" s="202">
        <f>IF($C170,IF(OR($V170&lt;-0.2,$W170&gt;0),"ATRASO ","")&amp;IF($Z170,"BLOQUEO ","")&amp;IF($Y170&gt;8,"SOBRECARGA ","")&amp;IF($X170&gt;0,"DESVÍO-PLAN ",""),"")</f>
      </c>
    </row>
    <row r="171">
      <c r="A171" s="201">
        <f>ROW()</f>
      </c>
      <c r="B171" s="201">
        <f>ISTEXT('Proyecto Datos (OKR´s)'!$K171)</f>
      </c>
      <c r="C171" s="201">
        <f>AND(LEN('Proyecto Datos (OKR´s)'!$G171)&gt;0,NOT($B171),OR(ISNUMBER('Proyecto Datos (OKR´s)'!$F171),ISNUMBER('Proyecto Datos (OKR´s)'!$L171)))</f>
      </c>
      <c r="D171" s="202">
        <f>IF($C171,IFERROR(LOOKUP(2,1/((ISTEXT('Proyecto Datos (OKR´s)'!$K$7:$K171))*(LEN('Proyecto Datos (OKR´s)'!$G$7:$G171)&gt;0)),'Proyecto Datos (OKR´s)'!$G$7:$G171),""),"")</f>
      </c>
      <c r="E171" s="201">
        <f>IF($C171,'Proyecto Datos (OKR´s)'!$E171,"")</f>
      </c>
      <c r="F171" s="202">
        <f>IF($C171,'Proyecto Datos (OKR´s)'!$G171,"")</f>
      </c>
      <c r="G171" s="202">
        <f>IF($C171,IF('Proyecto Datos (OKR´s)'!$I171="","(Sin asignar)",'Proyecto Datos (OKR´s)'!$I171),"")</f>
      </c>
      <c r="H171" s="201">
        <f>IF($C171,IF(ISNUMBER('Proyecto Datos (OKR´s)'!$F171),'Proyecto Datos (OKR´s)'!$F171,'Proyecto Datos (OKR´s)'!$L171),"")</f>
      </c>
      <c r="I171" s="201">
        <f>IF($C171,'Proyecto Datos (OKR´s)'!$J171,"")</f>
      </c>
      <c r="J171" s="202">
        <f>IF($C171,IF($I171&gt;=1,"Completado",IF($H171&lt;TODAY(),"Vencido",IF(($H171-TODAY())&lt;='Entregas Próximas'!$M$3,"Próximo a vencer","En curso"))),"")</f>
      </c>
      <c r="K171" s="201">
        <f>IF($C171,$H171-TODAY(),"")</f>
      </c>
      <c r="L171" s="201">
        <f>IF($C171,$AD171*1000000+$H171+ROW()/100000,"")</f>
      </c>
      <c r="M171" s="201">
        <f>IF($C171,IF($AD171=9999,"(Sin sprint)",$AD171),"")</f>
      </c>
      <c r="N171" s="201">
        <f>IF($C171,IF('Proyecto Datos (OKR´s)'!$E171="",9999,'Proyecto Datos (OKR´s)'!$E171),"")</f>
      </c>
      <c r="O171" s="201">
        <f>IF($C171,"T"&amp;TEXT(ROW(),"000"),"")</f>
      </c>
      <c r="R171" s="201">
        <f>IF($C171,IF(ISNUMBER('Proyecto Datos (OKR´s)'!$L171),'Proyecto Datos (OKR´s)'!$L171,$H171),"")</f>
      </c>
      <c r="S171" s="201">
        <f>IF($C171,$R171-'Proyecto Datos (OKR´s)'!$K171+1,"")</f>
      </c>
      <c r="T171" s="201">
        <f>IF($C171,MAX(0,TODAY()-'Proyecto Datos (OKR´s)'!$K171),"")</f>
      </c>
      <c r="U171" s="201">
        <f>IF($C171,MEDIAN(0,(TODAY()-'Proyecto Datos (OKR´s)'!$K171)/MAX(1,$R171-'Proyecto Datos (OKR´s)'!$K171),1),"")</f>
      </c>
      <c r="V171" s="201">
        <f>IF($C171,$I171-$U171,"")</f>
      </c>
      <c r="W171" s="201">
        <f>IF($C171,IF($J171="Completado",0,MAX(0,TODAY()-$H171)),"")</f>
      </c>
      <c r="X171" s="201">
        <f>IF($C171,IF(ISNUMBER($H171),$R171-$H171,0),"")</f>
      </c>
      <c r="Y171" s="201">
        <f>IF($C171,COUNTIFS($G$7:$G$200,$G171,$J$7:$J$200,"&lt;&gt;Completado",$J$7:$J$200,"&lt;&gt;"),"")</f>
      </c>
      <c r="Z171" s="201">
        <f>IF($C171,AND($I171=0,'Proyecto Datos (OKR´s)'!$K171&lt;=TODAY(),$J171&lt;&gt;"Completado"),"")</f>
      </c>
      <c r="AA171" s="201">
        <f>IF($C171,ROUND(100*(0.35*$AK171+0.3*$AL171+0.2*$AM171+0.15*MEDIAN(0,($Y171-4)/8,1)),0),"")</f>
      </c>
      <c r="AB171" s="202">
        <f>IF($C171,IF($J171="Completado","—",IF($AA171&gt;=70,"Crítica",IF($AA171&gt;=45,"Alta",IF($AA171&gt;=25,"Media","Baja")))),"")</f>
      </c>
      <c r="AC171" s="202">
        <f>IF($C171,IF(LEN(TRIM($AN171))=0,"—",TRIM($AN171)),"")</f>
      </c>
      <c r="AD171" s="201">
        <f>IF($C171,IF($N171=9999,9999,IF($J171="Completado",$N171,MAX($N171,'Historial de Sprints'!$C$7))),"")</f>
      </c>
      <c r="AE171" s="201">
        <f>IF($C171,IF($AD171=9999,"(Sin sprint)",$AD171),"")</f>
      </c>
      <c r="AF171" s="201">
        <f>IF($C171,AND($N171&lt;&gt;9999,$AD171&lt;&gt;$N171),FALSE)</f>
      </c>
      <c r="AG171" s="201">
        <f>IF($AF171,'Historial de Sprints'!$C$5+$N171*'Historial de Sprints'!$C$6-1,"")</f>
      </c>
      <c r="AH171" s="202">
        <f>IF($AF171,"No completada al cierre del Sprint "&amp;$N171&amp;" -&gt; reasignada al Sprint "&amp;$AD171,"")</f>
      </c>
      <c r="AI171" s="201">
        <f>IF($AF171,$N171*100000+ROW(),"")</f>
      </c>
      <c r="AJ171" s="201">
        <f>IF($C171,$AA171*1000000-MEDIAN(-9999,$K171,9999)*100+(300-ROW()),"")</f>
      </c>
      <c r="AK171" s="201">
        <f>IF($C171,IF($J171="Completado",0,IF($K171&lt;0,1,IF($K171&lt;=3,0.9,IF($K171&lt;=7,0.7,IF($K171&lt;=14,0.45,0.2))))),"")</f>
      </c>
      <c r="AL171" s="201">
        <f>IF($C171,IF($J171="Completado",0,MEDIAN(0,MAX(-$V171,$W171/30),1)),"")</f>
      </c>
      <c r="AM171" s="201">
        <f>IF($C171,IF($J171="Completado",0,IF($Z171,1,IF(AND($I171&lt;0.5,$K171&lt;=7),0.7,0.3))),"")</f>
      </c>
      <c r="AN171" s="202">
        <f>IF($C171,IF(OR($V171&lt;-0.2,$W171&gt;0),"ATRASO ","")&amp;IF($Z171,"BLOQUEO ","")&amp;IF($Y171&gt;8,"SOBRECARGA ","")&amp;IF($X171&gt;0,"DESVÍO-PLAN ",""),"")</f>
      </c>
    </row>
    <row r="172">
      <c r="A172" s="201">
        <f>ROW()</f>
      </c>
      <c r="B172" s="201">
        <f>ISTEXT('Proyecto Datos (OKR´s)'!$K172)</f>
      </c>
      <c r="C172" s="201">
        <f>AND(LEN('Proyecto Datos (OKR´s)'!$G172)&gt;0,NOT($B172),OR(ISNUMBER('Proyecto Datos (OKR´s)'!$F172),ISNUMBER('Proyecto Datos (OKR´s)'!$L172)))</f>
      </c>
      <c r="D172" s="202">
        <f>IF($C172,IFERROR(LOOKUP(2,1/((ISTEXT('Proyecto Datos (OKR´s)'!$K$7:$K172))*(LEN('Proyecto Datos (OKR´s)'!$G$7:$G172)&gt;0)),'Proyecto Datos (OKR´s)'!$G$7:$G172),""),"")</f>
      </c>
      <c r="E172" s="201">
        <f>IF($C172,'Proyecto Datos (OKR´s)'!$E172,"")</f>
      </c>
      <c r="F172" s="202">
        <f>IF($C172,'Proyecto Datos (OKR´s)'!$G172,"")</f>
      </c>
      <c r="G172" s="202">
        <f>IF($C172,IF('Proyecto Datos (OKR´s)'!$I172="","(Sin asignar)",'Proyecto Datos (OKR´s)'!$I172),"")</f>
      </c>
      <c r="H172" s="201">
        <f>IF($C172,IF(ISNUMBER('Proyecto Datos (OKR´s)'!$F172),'Proyecto Datos (OKR´s)'!$F172,'Proyecto Datos (OKR´s)'!$L172),"")</f>
      </c>
      <c r="I172" s="201">
        <f>IF($C172,'Proyecto Datos (OKR´s)'!$J172,"")</f>
      </c>
      <c r="J172" s="202">
        <f>IF($C172,IF($I172&gt;=1,"Completado",IF($H172&lt;TODAY(),"Vencido",IF(($H172-TODAY())&lt;='Entregas Próximas'!$M$3,"Próximo a vencer","En curso"))),"")</f>
      </c>
      <c r="K172" s="201">
        <f>IF($C172,$H172-TODAY(),"")</f>
      </c>
      <c r="L172" s="201">
        <f>IF($C172,$AD172*1000000+$H172+ROW()/100000,"")</f>
      </c>
      <c r="M172" s="201">
        <f>IF($C172,IF($AD172=9999,"(Sin sprint)",$AD172),"")</f>
      </c>
      <c r="N172" s="201">
        <f>IF($C172,IF('Proyecto Datos (OKR´s)'!$E172="",9999,'Proyecto Datos (OKR´s)'!$E172),"")</f>
      </c>
      <c r="O172" s="201">
        <f>IF($C172,"T"&amp;TEXT(ROW(),"000"),"")</f>
      </c>
      <c r="R172" s="201">
        <f>IF($C172,IF(ISNUMBER('Proyecto Datos (OKR´s)'!$L172),'Proyecto Datos (OKR´s)'!$L172,$H172),"")</f>
      </c>
      <c r="S172" s="201">
        <f>IF($C172,$R172-'Proyecto Datos (OKR´s)'!$K172+1,"")</f>
      </c>
      <c r="T172" s="201">
        <f>IF($C172,MAX(0,TODAY()-'Proyecto Datos (OKR´s)'!$K172),"")</f>
      </c>
      <c r="U172" s="201">
        <f>IF($C172,MEDIAN(0,(TODAY()-'Proyecto Datos (OKR´s)'!$K172)/MAX(1,$R172-'Proyecto Datos (OKR´s)'!$K172),1),"")</f>
      </c>
      <c r="V172" s="201">
        <f>IF($C172,$I172-$U172,"")</f>
      </c>
      <c r="W172" s="201">
        <f>IF($C172,IF($J172="Completado",0,MAX(0,TODAY()-$H172)),"")</f>
      </c>
      <c r="X172" s="201">
        <f>IF($C172,IF(ISNUMBER($H172),$R172-$H172,0),"")</f>
      </c>
      <c r="Y172" s="201">
        <f>IF($C172,COUNTIFS($G$7:$G$200,$G172,$J$7:$J$200,"&lt;&gt;Completado",$J$7:$J$200,"&lt;&gt;"),"")</f>
      </c>
      <c r="Z172" s="201">
        <f>IF($C172,AND($I172=0,'Proyecto Datos (OKR´s)'!$K172&lt;=TODAY(),$J172&lt;&gt;"Completado"),"")</f>
      </c>
      <c r="AA172" s="201">
        <f>IF($C172,ROUND(100*(0.35*$AK172+0.3*$AL172+0.2*$AM172+0.15*MEDIAN(0,($Y172-4)/8,1)),0),"")</f>
      </c>
      <c r="AB172" s="202">
        <f>IF($C172,IF($J172="Completado","—",IF($AA172&gt;=70,"Crítica",IF($AA172&gt;=45,"Alta",IF($AA172&gt;=25,"Media","Baja")))),"")</f>
      </c>
      <c r="AC172" s="202">
        <f>IF($C172,IF(LEN(TRIM($AN172))=0,"—",TRIM($AN172)),"")</f>
      </c>
      <c r="AD172" s="201">
        <f>IF($C172,IF($N172=9999,9999,IF($J172="Completado",$N172,MAX($N172,'Historial de Sprints'!$C$7))),"")</f>
      </c>
      <c r="AE172" s="201">
        <f>IF($C172,IF($AD172=9999,"(Sin sprint)",$AD172),"")</f>
      </c>
      <c r="AF172" s="201">
        <f>IF($C172,AND($N172&lt;&gt;9999,$AD172&lt;&gt;$N172),FALSE)</f>
      </c>
      <c r="AG172" s="201">
        <f>IF($AF172,'Historial de Sprints'!$C$5+$N172*'Historial de Sprints'!$C$6-1,"")</f>
      </c>
      <c r="AH172" s="202">
        <f>IF($AF172,"No completada al cierre del Sprint "&amp;$N172&amp;" -&gt; reasignada al Sprint "&amp;$AD172,"")</f>
      </c>
      <c r="AI172" s="201">
        <f>IF($AF172,$N172*100000+ROW(),"")</f>
      </c>
      <c r="AJ172" s="201">
        <f>IF($C172,$AA172*1000000-MEDIAN(-9999,$K172,9999)*100+(300-ROW()),"")</f>
      </c>
      <c r="AK172" s="201">
        <f>IF($C172,IF($J172="Completado",0,IF($K172&lt;0,1,IF($K172&lt;=3,0.9,IF($K172&lt;=7,0.7,IF($K172&lt;=14,0.45,0.2))))),"")</f>
      </c>
      <c r="AL172" s="201">
        <f>IF($C172,IF($J172="Completado",0,MEDIAN(0,MAX(-$V172,$W172/30),1)),"")</f>
      </c>
      <c r="AM172" s="201">
        <f>IF($C172,IF($J172="Completado",0,IF($Z172,1,IF(AND($I172&lt;0.5,$K172&lt;=7),0.7,0.3))),"")</f>
      </c>
      <c r="AN172" s="202">
        <f>IF($C172,IF(OR($V172&lt;-0.2,$W172&gt;0),"ATRASO ","")&amp;IF($Z172,"BLOQUEO ","")&amp;IF($Y172&gt;8,"SOBRECARGA ","")&amp;IF($X172&gt;0,"DESVÍO-PLAN ",""),"")</f>
      </c>
    </row>
    <row r="173">
      <c r="A173" s="201">
        <f>ROW()</f>
      </c>
      <c r="B173" s="201">
        <f>ISTEXT('Proyecto Datos (OKR´s)'!$K173)</f>
      </c>
      <c r="C173" s="201">
        <f>AND(LEN('Proyecto Datos (OKR´s)'!$G173)&gt;0,NOT($B173),OR(ISNUMBER('Proyecto Datos (OKR´s)'!$F173),ISNUMBER('Proyecto Datos (OKR´s)'!$L173)))</f>
      </c>
      <c r="D173" s="202">
        <f>IF($C173,IFERROR(LOOKUP(2,1/((ISTEXT('Proyecto Datos (OKR´s)'!$K$7:$K173))*(LEN('Proyecto Datos (OKR´s)'!$G$7:$G173)&gt;0)),'Proyecto Datos (OKR´s)'!$G$7:$G173),""),"")</f>
      </c>
      <c r="E173" s="201">
        <f>IF($C173,'Proyecto Datos (OKR´s)'!$E173,"")</f>
      </c>
      <c r="F173" s="202">
        <f>IF($C173,'Proyecto Datos (OKR´s)'!$G173,"")</f>
      </c>
      <c r="G173" s="202">
        <f>IF($C173,IF('Proyecto Datos (OKR´s)'!$I173="","(Sin asignar)",'Proyecto Datos (OKR´s)'!$I173),"")</f>
      </c>
      <c r="H173" s="201">
        <f>IF($C173,IF(ISNUMBER('Proyecto Datos (OKR´s)'!$F173),'Proyecto Datos (OKR´s)'!$F173,'Proyecto Datos (OKR´s)'!$L173),"")</f>
      </c>
      <c r="I173" s="201">
        <f>IF($C173,'Proyecto Datos (OKR´s)'!$J173,"")</f>
      </c>
      <c r="J173" s="202">
        <f>IF($C173,IF($I173&gt;=1,"Completado",IF($H173&lt;TODAY(),"Vencido",IF(($H173-TODAY())&lt;='Entregas Próximas'!$M$3,"Próximo a vencer","En curso"))),"")</f>
      </c>
      <c r="K173" s="201">
        <f>IF($C173,$H173-TODAY(),"")</f>
      </c>
      <c r="L173" s="201">
        <f>IF($C173,$AD173*1000000+$H173+ROW()/100000,"")</f>
      </c>
      <c r="M173" s="201">
        <f>IF($C173,IF($AD173=9999,"(Sin sprint)",$AD173),"")</f>
      </c>
      <c r="N173" s="201">
        <f>IF($C173,IF('Proyecto Datos (OKR´s)'!$E173="",9999,'Proyecto Datos (OKR´s)'!$E173),"")</f>
      </c>
      <c r="O173" s="201">
        <f>IF($C173,"T"&amp;TEXT(ROW(),"000"),"")</f>
      </c>
      <c r="R173" s="201">
        <f>IF($C173,IF(ISNUMBER('Proyecto Datos (OKR´s)'!$L173),'Proyecto Datos (OKR´s)'!$L173,$H173),"")</f>
      </c>
      <c r="S173" s="201">
        <f>IF($C173,$R173-'Proyecto Datos (OKR´s)'!$K173+1,"")</f>
      </c>
      <c r="T173" s="201">
        <f>IF($C173,MAX(0,TODAY()-'Proyecto Datos (OKR´s)'!$K173),"")</f>
      </c>
      <c r="U173" s="201">
        <f>IF($C173,MEDIAN(0,(TODAY()-'Proyecto Datos (OKR´s)'!$K173)/MAX(1,$R173-'Proyecto Datos (OKR´s)'!$K173),1),"")</f>
      </c>
      <c r="V173" s="201">
        <f>IF($C173,$I173-$U173,"")</f>
      </c>
      <c r="W173" s="201">
        <f>IF($C173,IF($J173="Completado",0,MAX(0,TODAY()-$H173)),"")</f>
      </c>
      <c r="X173" s="201">
        <f>IF($C173,IF(ISNUMBER($H173),$R173-$H173,0),"")</f>
      </c>
      <c r="Y173" s="201">
        <f>IF($C173,COUNTIFS($G$7:$G$200,$G173,$J$7:$J$200,"&lt;&gt;Completado",$J$7:$J$200,"&lt;&gt;"),"")</f>
      </c>
      <c r="Z173" s="201">
        <f>IF($C173,AND($I173=0,'Proyecto Datos (OKR´s)'!$K173&lt;=TODAY(),$J173&lt;&gt;"Completado"),"")</f>
      </c>
      <c r="AA173" s="201">
        <f>IF($C173,ROUND(100*(0.35*$AK173+0.3*$AL173+0.2*$AM173+0.15*MEDIAN(0,($Y173-4)/8,1)),0),"")</f>
      </c>
      <c r="AB173" s="202">
        <f>IF($C173,IF($J173="Completado","—",IF($AA173&gt;=70,"Crítica",IF($AA173&gt;=45,"Alta",IF($AA173&gt;=25,"Media","Baja")))),"")</f>
      </c>
      <c r="AC173" s="202">
        <f>IF($C173,IF(LEN(TRIM($AN173))=0,"—",TRIM($AN173)),"")</f>
      </c>
      <c r="AD173" s="201">
        <f>IF($C173,IF($N173=9999,9999,IF($J173="Completado",$N173,MAX($N173,'Historial de Sprints'!$C$7))),"")</f>
      </c>
      <c r="AE173" s="201">
        <f>IF($C173,IF($AD173=9999,"(Sin sprint)",$AD173),"")</f>
      </c>
      <c r="AF173" s="201">
        <f>IF($C173,AND($N173&lt;&gt;9999,$AD173&lt;&gt;$N173),FALSE)</f>
      </c>
      <c r="AG173" s="201">
        <f>IF($AF173,'Historial de Sprints'!$C$5+$N173*'Historial de Sprints'!$C$6-1,"")</f>
      </c>
      <c r="AH173" s="202">
        <f>IF($AF173,"No completada al cierre del Sprint "&amp;$N173&amp;" -&gt; reasignada al Sprint "&amp;$AD173,"")</f>
      </c>
      <c r="AI173" s="201">
        <f>IF($AF173,$N173*100000+ROW(),"")</f>
      </c>
      <c r="AJ173" s="201">
        <f>IF($C173,$AA173*1000000-MEDIAN(-9999,$K173,9999)*100+(300-ROW()),"")</f>
      </c>
      <c r="AK173" s="201">
        <f>IF($C173,IF($J173="Completado",0,IF($K173&lt;0,1,IF($K173&lt;=3,0.9,IF($K173&lt;=7,0.7,IF($K173&lt;=14,0.45,0.2))))),"")</f>
      </c>
      <c r="AL173" s="201">
        <f>IF($C173,IF($J173="Completado",0,MEDIAN(0,MAX(-$V173,$W173/30),1)),"")</f>
      </c>
      <c r="AM173" s="201">
        <f>IF($C173,IF($J173="Completado",0,IF($Z173,1,IF(AND($I173&lt;0.5,$K173&lt;=7),0.7,0.3))),"")</f>
      </c>
      <c r="AN173" s="202">
        <f>IF($C173,IF(OR($V173&lt;-0.2,$W173&gt;0),"ATRASO ","")&amp;IF($Z173,"BLOQUEO ","")&amp;IF($Y173&gt;8,"SOBRECARGA ","")&amp;IF($X173&gt;0,"DESVÍO-PLAN ",""),"")</f>
      </c>
    </row>
    <row r="174">
      <c r="A174" s="201">
        <f>ROW()</f>
      </c>
      <c r="B174" s="201">
        <f>ISTEXT('Proyecto Datos (OKR´s)'!$K174)</f>
      </c>
      <c r="C174" s="201">
        <f>AND(LEN('Proyecto Datos (OKR´s)'!$G174)&gt;0,NOT($B174),OR(ISNUMBER('Proyecto Datos (OKR´s)'!$F174),ISNUMBER('Proyecto Datos (OKR´s)'!$L174)))</f>
      </c>
      <c r="D174" s="202">
        <f>IF($C174,IFERROR(LOOKUP(2,1/((ISTEXT('Proyecto Datos (OKR´s)'!$K$7:$K174))*(LEN('Proyecto Datos (OKR´s)'!$G$7:$G174)&gt;0)),'Proyecto Datos (OKR´s)'!$G$7:$G174),""),"")</f>
      </c>
      <c r="E174" s="201">
        <f>IF($C174,'Proyecto Datos (OKR´s)'!$E174,"")</f>
      </c>
      <c r="F174" s="202">
        <f>IF($C174,'Proyecto Datos (OKR´s)'!$G174,"")</f>
      </c>
      <c r="G174" s="202">
        <f>IF($C174,IF('Proyecto Datos (OKR´s)'!$I174="","(Sin asignar)",'Proyecto Datos (OKR´s)'!$I174),"")</f>
      </c>
      <c r="H174" s="201">
        <f>IF($C174,IF(ISNUMBER('Proyecto Datos (OKR´s)'!$F174),'Proyecto Datos (OKR´s)'!$F174,'Proyecto Datos (OKR´s)'!$L174),"")</f>
      </c>
      <c r="I174" s="201">
        <f>IF($C174,'Proyecto Datos (OKR´s)'!$J174,"")</f>
      </c>
      <c r="J174" s="202">
        <f>IF($C174,IF($I174&gt;=1,"Completado",IF($H174&lt;TODAY(),"Vencido",IF(($H174-TODAY())&lt;='Entregas Próximas'!$M$3,"Próximo a vencer","En curso"))),"")</f>
      </c>
      <c r="K174" s="201">
        <f>IF($C174,$H174-TODAY(),"")</f>
      </c>
      <c r="L174" s="201">
        <f>IF($C174,$AD174*1000000+$H174+ROW()/100000,"")</f>
      </c>
      <c r="M174" s="201">
        <f>IF($C174,IF($AD174=9999,"(Sin sprint)",$AD174),"")</f>
      </c>
      <c r="N174" s="201">
        <f>IF($C174,IF('Proyecto Datos (OKR´s)'!$E174="",9999,'Proyecto Datos (OKR´s)'!$E174),"")</f>
      </c>
      <c r="O174" s="201">
        <f>IF($C174,"T"&amp;TEXT(ROW(),"000"),"")</f>
      </c>
      <c r="R174" s="201">
        <f>IF($C174,IF(ISNUMBER('Proyecto Datos (OKR´s)'!$L174),'Proyecto Datos (OKR´s)'!$L174,$H174),"")</f>
      </c>
      <c r="S174" s="201">
        <f>IF($C174,$R174-'Proyecto Datos (OKR´s)'!$K174+1,"")</f>
      </c>
      <c r="T174" s="201">
        <f>IF($C174,MAX(0,TODAY()-'Proyecto Datos (OKR´s)'!$K174),"")</f>
      </c>
      <c r="U174" s="201">
        <f>IF($C174,MEDIAN(0,(TODAY()-'Proyecto Datos (OKR´s)'!$K174)/MAX(1,$R174-'Proyecto Datos (OKR´s)'!$K174),1),"")</f>
      </c>
      <c r="V174" s="201">
        <f>IF($C174,$I174-$U174,"")</f>
      </c>
      <c r="W174" s="201">
        <f>IF($C174,IF($J174="Completado",0,MAX(0,TODAY()-$H174)),"")</f>
      </c>
      <c r="X174" s="201">
        <f>IF($C174,IF(ISNUMBER($H174),$R174-$H174,0),"")</f>
      </c>
      <c r="Y174" s="201">
        <f>IF($C174,COUNTIFS($G$7:$G$200,$G174,$J$7:$J$200,"&lt;&gt;Completado",$J$7:$J$200,"&lt;&gt;"),"")</f>
      </c>
      <c r="Z174" s="201">
        <f>IF($C174,AND($I174=0,'Proyecto Datos (OKR´s)'!$K174&lt;=TODAY(),$J174&lt;&gt;"Completado"),"")</f>
      </c>
      <c r="AA174" s="201">
        <f>IF($C174,ROUND(100*(0.35*$AK174+0.3*$AL174+0.2*$AM174+0.15*MEDIAN(0,($Y174-4)/8,1)),0),"")</f>
      </c>
      <c r="AB174" s="202">
        <f>IF($C174,IF($J174="Completado","—",IF($AA174&gt;=70,"Crítica",IF($AA174&gt;=45,"Alta",IF($AA174&gt;=25,"Media","Baja")))),"")</f>
      </c>
      <c r="AC174" s="202">
        <f>IF($C174,IF(LEN(TRIM($AN174))=0,"—",TRIM($AN174)),"")</f>
      </c>
      <c r="AD174" s="201">
        <f>IF($C174,IF($N174=9999,9999,IF($J174="Completado",$N174,MAX($N174,'Historial de Sprints'!$C$7))),"")</f>
      </c>
      <c r="AE174" s="201">
        <f>IF($C174,IF($AD174=9999,"(Sin sprint)",$AD174),"")</f>
      </c>
      <c r="AF174" s="201">
        <f>IF($C174,AND($N174&lt;&gt;9999,$AD174&lt;&gt;$N174),FALSE)</f>
      </c>
      <c r="AG174" s="201">
        <f>IF($AF174,'Historial de Sprints'!$C$5+$N174*'Historial de Sprints'!$C$6-1,"")</f>
      </c>
      <c r="AH174" s="202">
        <f>IF($AF174,"No completada al cierre del Sprint "&amp;$N174&amp;" -&gt; reasignada al Sprint "&amp;$AD174,"")</f>
      </c>
      <c r="AI174" s="201">
        <f>IF($AF174,$N174*100000+ROW(),"")</f>
      </c>
      <c r="AJ174" s="201">
        <f>IF($C174,$AA174*1000000-MEDIAN(-9999,$K174,9999)*100+(300-ROW()),"")</f>
      </c>
      <c r="AK174" s="201">
        <f>IF($C174,IF($J174="Completado",0,IF($K174&lt;0,1,IF($K174&lt;=3,0.9,IF($K174&lt;=7,0.7,IF($K174&lt;=14,0.45,0.2))))),"")</f>
      </c>
      <c r="AL174" s="201">
        <f>IF($C174,IF($J174="Completado",0,MEDIAN(0,MAX(-$V174,$W174/30),1)),"")</f>
      </c>
      <c r="AM174" s="201">
        <f>IF($C174,IF($J174="Completado",0,IF($Z174,1,IF(AND($I174&lt;0.5,$K174&lt;=7),0.7,0.3))),"")</f>
      </c>
      <c r="AN174" s="202">
        <f>IF($C174,IF(OR($V174&lt;-0.2,$W174&gt;0),"ATRASO ","")&amp;IF($Z174,"BLOQUEO ","")&amp;IF($Y174&gt;8,"SOBRECARGA ","")&amp;IF($X174&gt;0,"DESVÍO-PLAN ",""),"")</f>
      </c>
    </row>
    <row r="175">
      <c r="A175" s="201">
        <f>ROW()</f>
      </c>
      <c r="B175" s="201">
        <f>ISTEXT('Proyecto Datos (OKR´s)'!$K175)</f>
      </c>
      <c r="C175" s="201">
        <f>AND(LEN('Proyecto Datos (OKR´s)'!$G175)&gt;0,NOT($B175),OR(ISNUMBER('Proyecto Datos (OKR´s)'!$F175),ISNUMBER('Proyecto Datos (OKR´s)'!$L175)))</f>
      </c>
      <c r="D175" s="202">
        <f>IF($C175,IFERROR(LOOKUP(2,1/((ISTEXT('Proyecto Datos (OKR´s)'!$K$7:$K175))*(LEN('Proyecto Datos (OKR´s)'!$G$7:$G175)&gt;0)),'Proyecto Datos (OKR´s)'!$G$7:$G175),""),"")</f>
      </c>
      <c r="E175" s="201">
        <f>IF($C175,'Proyecto Datos (OKR´s)'!$E175,"")</f>
      </c>
      <c r="F175" s="202">
        <f>IF($C175,'Proyecto Datos (OKR´s)'!$G175,"")</f>
      </c>
      <c r="G175" s="202">
        <f>IF($C175,IF('Proyecto Datos (OKR´s)'!$I175="","(Sin asignar)",'Proyecto Datos (OKR´s)'!$I175),"")</f>
      </c>
      <c r="H175" s="201">
        <f>IF($C175,IF(ISNUMBER('Proyecto Datos (OKR´s)'!$F175),'Proyecto Datos (OKR´s)'!$F175,'Proyecto Datos (OKR´s)'!$L175),"")</f>
      </c>
      <c r="I175" s="201">
        <f>IF($C175,'Proyecto Datos (OKR´s)'!$J175,"")</f>
      </c>
      <c r="J175" s="202">
        <f>IF($C175,IF($I175&gt;=1,"Completado",IF($H175&lt;TODAY(),"Vencido",IF(($H175-TODAY())&lt;='Entregas Próximas'!$M$3,"Próximo a vencer","En curso"))),"")</f>
      </c>
      <c r="K175" s="201">
        <f>IF($C175,$H175-TODAY(),"")</f>
      </c>
      <c r="L175" s="201">
        <f>IF($C175,$AD175*1000000+$H175+ROW()/100000,"")</f>
      </c>
      <c r="M175" s="201">
        <f>IF($C175,IF($AD175=9999,"(Sin sprint)",$AD175),"")</f>
      </c>
      <c r="N175" s="201">
        <f>IF($C175,IF('Proyecto Datos (OKR´s)'!$E175="",9999,'Proyecto Datos (OKR´s)'!$E175),"")</f>
      </c>
      <c r="O175" s="201">
        <f>IF($C175,"T"&amp;TEXT(ROW(),"000"),"")</f>
      </c>
      <c r="R175" s="201">
        <f>IF($C175,IF(ISNUMBER('Proyecto Datos (OKR´s)'!$L175),'Proyecto Datos (OKR´s)'!$L175,$H175),"")</f>
      </c>
      <c r="S175" s="201">
        <f>IF($C175,$R175-'Proyecto Datos (OKR´s)'!$K175+1,"")</f>
      </c>
      <c r="T175" s="201">
        <f>IF($C175,MAX(0,TODAY()-'Proyecto Datos (OKR´s)'!$K175),"")</f>
      </c>
      <c r="U175" s="201">
        <f>IF($C175,MEDIAN(0,(TODAY()-'Proyecto Datos (OKR´s)'!$K175)/MAX(1,$R175-'Proyecto Datos (OKR´s)'!$K175),1),"")</f>
      </c>
      <c r="V175" s="201">
        <f>IF($C175,$I175-$U175,"")</f>
      </c>
      <c r="W175" s="201">
        <f>IF($C175,IF($J175="Completado",0,MAX(0,TODAY()-$H175)),"")</f>
      </c>
      <c r="X175" s="201">
        <f>IF($C175,IF(ISNUMBER($H175),$R175-$H175,0),"")</f>
      </c>
      <c r="Y175" s="201">
        <f>IF($C175,COUNTIFS($G$7:$G$200,$G175,$J$7:$J$200,"&lt;&gt;Completado",$J$7:$J$200,"&lt;&gt;"),"")</f>
      </c>
      <c r="Z175" s="201">
        <f>IF($C175,AND($I175=0,'Proyecto Datos (OKR´s)'!$K175&lt;=TODAY(),$J175&lt;&gt;"Completado"),"")</f>
      </c>
      <c r="AA175" s="201">
        <f>IF($C175,ROUND(100*(0.35*$AK175+0.3*$AL175+0.2*$AM175+0.15*MEDIAN(0,($Y175-4)/8,1)),0),"")</f>
      </c>
      <c r="AB175" s="202">
        <f>IF($C175,IF($J175="Completado","—",IF($AA175&gt;=70,"Crítica",IF($AA175&gt;=45,"Alta",IF($AA175&gt;=25,"Media","Baja")))),"")</f>
      </c>
      <c r="AC175" s="202">
        <f>IF($C175,IF(LEN(TRIM($AN175))=0,"—",TRIM($AN175)),"")</f>
      </c>
      <c r="AD175" s="201">
        <f>IF($C175,IF($N175=9999,9999,IF($J175="Completado",$N175,MAX($N175,'Historial de Sprints'!$C$7))),"")</f>
      </c>
      <c r="AE175" s="201">
        <f>IF($C175,IF($AD175=9999,"(Sin sprint)",$AD175),"")</f>
      </c>
      <c r="AF175" s="201">
        <f>IF($C175,AND($N175&lt;&gt;9999,$AD175&lt;&gt;$N175),FALSE)</f>
      </c>
      <c r="AG175" s="201">
        <f>IF($AF175,'Historial de Sprints'!$C$5+$N175*'Historial de Sprints'!$C$6-1,"")</f>
      </c>
      <c r="AH175" s="202">
        <f>IF($AF175,"No completada al cierre del Sprint "&amp;$N175&amp;" -&gt; reasignada al Sprint "&amp;$AD175,"")</f>
      </c>
      <c r="AI175" s="201">
        <f>IF($AF175,$N175*100000+ROW(),"")</f>
      </c>
      <c r="AJ175" s="201">
        <f>IF($C175,$AA175*1000000-MEDIAN(-9999,$K175,9999)*100+(300-ROW()),"")</f>
      </c>
      <c r="AK175" s="201">
        <f>IF($C175,IF($J175="Completado",0,IF($K175&lt;0,1,IF($K175&lt;=3,0.9,IF($K175&lt;=7,0.7,IF($K175&lt;=14,0.45,0.2))))),"")</f>
      </c>
      <c r="AL175" s="201">
        <f>IF($C175,IF($J175="Completado",0,MEDIAN(0,MAX(-$V175,$W175/30),1)),"")</f>
      </c>
      <c r="AM175" s="201">
        <f>IF($C175,IF($J175="Completado",0,IF($Z175,1,IF(AND($I175&lt;0.5,$K175&lt;=7),0.7,0.3))),"")</f>
      </c>
      <c r="AN175" s="202">
        <f>IF($C175,IF(OR($V175&lt;-0.2,$W175&gt;0),"ATRASO ","")&amp;IF($Z175,"BLOQUEO ","")&amp;IF($Y175&gt;8,"SOBRECARGA ","")&amp;IF($X175&gt;0,"DESVÍO-PLAN ",""),"")</f>
      </c>
    </row>
    <row r="176">
      <c r="A176" s="201">
        <f>ROW()</f>
      </c>
      <c r="B176" s="201">
        <f>ISTEXT('Proyecto Datos (OKR´s)'!$K176)</f>
      </c>
      <c r="C176" s="201">
        <f>AND(LEN('Proyecto Datos (OKR´s)'!$G176)&gt;0,NOT($B176),OR(ISNUMBER('Proyecto Datos (OKR´s)'!$F176),ISNUMBER('Proyecto Datos (OKR´s)'!$L176)))</f>
      </c>
      <c r="D176" s="202">
        <f>IF($C176,IFERROR(LOOKUP(2,1/((ISTEXT('Proyecto Datos (OKR´s)'!$K$7:$K176))*(LEN('Proyecto Datos (OKR´s)'!$G$7:$G176)&gt;0)),'Proyecto Datos (OKR´s)'!$G$7:$G176),""),"")</f>
      </c>
      <c r="E176" s="201">
        <f>IF($C176,'Proyecto Datos (OKR´s)'!$E176,"")</f>
      </c>
      <c r="F176" s="202">
        <f>IF($C176,'Proyecto Datos (OKR´s)'!$G176,"")</f>
      </c>
      <c r="G176" s="202">
        <f>IF($C176,IF('Proyecto Datos (OKR´s)'!$I176="","(Sin asignar)",'Proyecto Datos (OKR´s)'!$I176),"")</f>
      </c>
      <c r="H176" s="201">
        <f>IF($C176,IF(ISNUMBER('Proyecto Datos (OKR´s)'!$F176),'Proyecto Datos (OKR´s)'!$F176,'Proyecto Datos (OKR´s)'!$L176),"")</f>
      </c>
      <c r="I176" s="201">
        <f>IF($C176,'Proyecto Datos (OKR´s)'!$J176,"")</f>
      </c>
      <c r="J176" s="202">
        <f>IF($C176,IF($I176&gt;=1,"Completado",IF($H176&lt;TODAY(),"Vencido",IF(($H176-TODAY())&lt;='Entregas Próximas'!$M$3,"Próximo a vencer","En curso"))),"")</f>
      </c>
      <c r="K176" s="201">
        <f>IF($C176,$H176-TODAY(),"")</f>
      </c>
      <c r="L176" s="201">
        <f>IF($C176,$AD176*1000000+$H176+ROW()/100000,"")</f>
      </c>
      <c r="M176" s="201">
        <f>IF($C176,IF($AD176=9999,"(Sin sprint)",$AD176),"")</f>
      </c>
      <c r="N176" s="201">
        <f>IF($C176,IF('Proyecto Datos (OKR´s)'!$E176="",9999,'Proyecto Datos (OKR´s)'!$E176),"")</f>
      </c>
      <c r="O176" s="201">
        <f>IF($C176,"T"&amp;TEXT(ROW(),"000"),"")</f>
      </c>
      <c r="R176" s="201">
        <f>IF($C176,IF(ISNUMBER('Proyecto Datos (OKR´s)'!$L176),'Proyecto Datos (OKR´s)'!$L176,$H176),"")</f>
      </c>
      <c r="S176" s="201">
        <f>IF($C176,$R176-'Proyecto Datos (OKR´s)'!$K176+1,"")</f>
      </c>
      <c r="T176" s="201">
        <f>IF($C176,MAX(0,TODAY()-'Proyecto Datos (OKR´s)'!$K176),"")</f>
      </c>
      <c r="U176" s="201">
        <f>IF($C176,MEDIAN(0,(TODAY()-'Proyecto Datos (OKR´s)'!$K176)/MAX(1,$R176-'Proyecto Datos (OKR´s)'!$K176),1),"")</f>
      </c>
      <c r="V176" s="201">
        <f>IF($C176,$I176-$U176,"")</f>
      </c>
      <c r="W176" s="201">
        <f>IF($C176,IF($J176="Completado",0,MAX(0,TODAY()-$H176)),"")</f>
      </c>
      <c r="X176" s="201">
        <f>IF($C176,IF(ISNUMBER($H176),$R176-$H176,0),"")</f>
      </c>
      <c r="Y176" s="201">
        <f>IF($C176,COUNTIFS($G$7:$G$200,$G176,$J$7:$J$200,"&lt;&gt;Completado",$J$7:$J$200,"&lt;&gt;"),"")</f>
      </c>
      <c r="Z176" s="201">
        <f>IF($C176,AND($I176=0,'Proyecto Datos (OKR´s)'!$K176&lt;=TODAY(),$J176&lt;&gt;"Completado"),"")</f>
      </c>
      <c r="AA176" s="201">
        <f>IF($C176,ROUND(100*(0.35*$AK176+0.3*$AL176+0.2*$AM176+0.15*MEDIAN(0,($Y176-4)/8,1)),0),"")</f>
      </c>
      <c r="AB176" s="202">
        <f>IF($C176,IF($J176="Completado","—",IF($AA176&gt;=70,"Crítica",IF($AA176&gt;=45,"Alta",IF($AA176&gt;=25,"Media","Baja")))),"")</f>
      </c>
      <c r="AC176" s="202">
        <f>IF($C176,IF(LEN(TRIM($AN176))=0,"—",TRIM($AN176)),"")</f>
      </c>
      <c r="AD176" s="201">
        <f>IF($C176,IF($N176=9999,9999,IF($J176="Completado",$N176,MAX($N176,'Historial de Sprints'!$C$7))),"")</f>
      </c>
      <c r="AE176" s="201">
        <f>IF($C176,IF($AD176=9999,"(Sin sprint)",$AD176),"")</f>
      </c>
      <c r="AF176" s="201">
        <f>IF($C176,AND($N176&lt;&gt;9999,$AD176&lt;&gt;$N176),FALSE)</f>
      </c>
      <c r="AG176" s="201">
        <f>IF($AF176,'Historial de Sprints'!$C$5+$N176*'Historial de Sprints'!$C$6-1,"")</f>
      </c>
      <c r="AH176" s="202">
        <f>IF($AF176,"No completada al cierre del Sprint "&amp;$N176&amp;" -&gt; reasignada al Sprint "&amp;$AD176,"")</f>
      </c>
      <c r="AI176" s="201">
        <f>IF($AF176,$N176*100000+ROW(),"")</f>
      </c>
      <c r="AJ176" s="201">
        <f>IF($C176,$AA176*1000000-MEDIAN(-9999,$K176,9999)*100+(300-ROW()),"")</f>
      </c>
      <c r="AK176" s="201">
        <f>IF($C176,IF($J176="Completado",0,IF($K176&lt;0,1,IF($K176&lt;=3,0.9,IF($K176&lt;=7,0.7,IF($K176&lt;=14,0.45,0.2))))),"")</f>
      </c>
      <c r="AL176" s="201">
        <f>IF($C176,IF($J176="Completado",0,MEDIAN(0,MAX(-$V176,$W176/30),1)),"")</f>
      </c>
      <c r="AM176" s="201">
        <f>IF($C176,IF($J176="Completado",0,IF($Z176,1,IF(AND($I176&lt;0.5,$K176&lt;=7),0.7,0.3))),"")</f>
      </c>
      <c r="AN176" s="202">
        <f>IF($C176,IF(OR($V176&lt;-0.2,$W176&gt;0),"ATRASO ","")&amp;IF($Z176,"BLOQUEO ","")&amp;IF($Y176&gt;8,"SOBRECARGA ","")&amp;IF($X176&gt;0,"DESVÍO-PLAN ",""),"")</f>
      </c>
    </row>
    <row r="177">
      <c r="A177" s="201">
        <f>ROW()</f>
      </c>
      <c r="B177" s="201">
        <f>ISTEXT('Proyecto Datos (OKR´s)'!$K177)</f>
      </c>
      <c r="C177" s="201">
        <f>AND(LEN('Proyecto Datos (OKR´s)'!$G177)&gt;0,NOT($B177),OR(ISNUMBER('Proyecto Datos (OKR´s)'!$F177),ISNUMBER('Proyecto Datos (OKR´s)'!$L177)))</f>
      </c>
      <c r="D177" s="202">
        <f>IF($C177,IFERROR(LOOKUP(2,1/((ISTEXT('Proyecto Datos (OKR´s)'!$K$7:$K177))*(LEN('Proyecto Datos (OKR´s)'!$G$7:$G177)&gt;0)),'Proyecto Datos (OKR´s)'!$G$7:$G177),""),"")</f>
      </c>
      <c r="E177" s="201">
        <f>IF($C177,'Proyecto Datos (OKR´s)'!$E177,"")</f>
      </c>
      <c r="F177" s="202">
        <f>IF($C177,'Proyecto Datos (OKR´s)'!$G177,"")</f>
      </c>
      <c r="G177" s="202">
        <f>IF($C177,IF('Proyecto Datos (OKR´s)'!$I177="","(Sin asignar)",'Proyecto Datos (OKR´s)'!$I177),"")</f>
      </c>
      <c r="H177" s="201">
        <f>IF($C177,IF(ISNUMBER('Proyecto Datos (OKR´s)'!$F177),'Proyecto Datos (OKR´s)'!$F177,'Proyecto Datos (OKR´s)'!$L177),"")</f>
      </c>
      <c r="I177" s="201">
        <f>IF($C177,'Proyecto Datos (OKR´s)'!$J177,"")</f>
      </c>
      <c r="J177" s="202">
        <f>IF($C177,IF($I177&gt;=1,"Completado",IF($H177&lt;TODAY(),"Vencido",IF(($H177-TODAY())&lt;='Entregas Próximas'!$M$3,"Próximo a vencer","En curso"))),"")</f>
      </c>
      <c r="K177" s="201">
        <f>IF($C177,$H177-TODAY(),"")</f>
      </c>
      <c r="L177" s="201">
        <f>IF($C177,$AD177*1000000+$H177+ROW()/100000,"")</f>
      </c>
      <c r="M177" s="201">
        <f>IF($C177,IF($AD177=9999,"(Sin sprint)",$AD177),"")</f>
      </c>
      <c r="N177" s="201">
        <f>IF($C177,IF('Proyecto Datos (OKR´s)'!$E177="",9999,'Proyecto Datos (OKR´s)'!$E177),"")</f>
      </c>
      <c r="O177" s="201">
        <f>IF($C177,"T"&amp;TEXT(ROW(),"000"),"")</f>
      </c>
      <c r="R177" s="201">
        <f>IF($C177,IF(ISNUMBER('Proyecto Datos (OKR´s)'!$L177),'Proyecto Datos (OKR´s)'!$L177,$H177),"")</f>
      </c>
      <c r="S177" s="201">
        <f>IF($C177,$R177-'Proyecto Datos (OKR´s)'!$K177+1,"")</f>
      </c>
      <c r="T177" s="201">
        <f>IF($C177,MAX(0,TODAY()-'Proyecto Datos (OKR´s)'!$K177),"")</f>
      </c>
      <c r="U177" s="201">
        <f>IF($C177,MEDIAN(0,(TODAY()-'Proyecto Datos (OKR´s)'!$K177)/MAX(1,$R177-'Proyecto Datos (OKR´s)'!$K177),1),"")</f>
      </c>
      <c r="V177" s="201">
        <f>IF($C177,$I177-$U177,"")</f>
      </c>
      <c r="W177" s="201">
        <f>IF($C177,IF($J177="Completado",0,MAX(0,TODAY()-$H177)),"")</f>
      </c>
      <c r="X177" s="201">
        <f>IF($C177,IF(ISNUMBER($H177),$R177-$H177,0),"")</f>
      </c>
      <c r="Y177" s="201">
        <f>IF($C177,COUNTIFS($G$7:$G$200,$G177,$J$7:$J$200,"&lt;&gt;Completado",$J$7:$J$200,"&lt;&gt;"),"")</f>
      </c>
      <c r="Z177" s="201">
        <f>IF($C177,AND($I177=0,'Proyecto Datos (OKR´s)'!$K177&lt;=TODAY(),$J177&lt;&gt;"Completado"),"")</f>
      </c>
      <c r="AA177" s="201">
        <f>IF($C177,ROUND(100*(0.35*$AK177+0.3*$AL177+0.2*$AM177+0.15*MEDIAN(0,($Y177-4)/8,1)),0),"")</f>
      </c>
      <c r="AB177" s="202">
        <f>IF($C177,IF($J177="Completado","—",IF($AA177&gt;=70,"Crítica",IF($AA177&gt;=45,"Alta",IF($AA177&gt;=25,"Media","Baja")))),"")</f>
      </c>
      <c r="AC177" s="202">
        <f>IF($C177,IF(LEN(TRIM($AN177))=0,"—",TRIM($AN177)),"")</f>
      </c>
      <c r="AD177" s="201">
        <f>IF($C177,IF($N177=9999,9999,IF($J177="Completado",$N177,MAX($N177,'Historial de Sprints'!$C$7))),"")</f>
      </c>
      <c r="AE177" s="201">
        <f>IF($C177,IF($AD177=9999,"(Sin sprint)",$AD177),"")</f>
      </c>
      <c r="AF177" s="201">
        <f>IF($C177,AND($N177&lt;&gt;9999,$AD177&lt;&gt;$N177),FALSE)</f>
      </c>
      <c r="AG177" s="201">
        <f>IF($AF177,'Historial de Sprints'!$C$5+$N177*'Historial de Sprints'!$C$6-1,"")</f>
      </c>
      <c r="AH177" s="202">
        <f>IF($AF177,"No completada al cierre del Sprint "&amp;$N177&amp;" -&gt; reasignada al Sprint "&amp;$AD177,"")</f>
      </c>
      <c r="AI177" s="201">
        <f>IF($AF177,$N177*100000+ROW(),"")</f>
      </c>
      <c r="AJ177" s="201">
        <f>IF($C177,$AA177*1000000-MEDIAN(-9999,$K177,9999)*100+(300-ROW()),"")</f>
      </c>
      <c r="AK177" s="201">
        <f>IF($C177,IF($J177="Completado",0,IF($K177&lt;0,1,IF($K177&lt;=3,0.9,IF($K177&lt;=7,0.7,IF($K177&lt;=14,0.45,0.2))))),"")</f>
      </c>
      <c r="AL177" s="201">
        <f>IF($C177,IF($J177="Completado",0,MEDIAN(0,MAX(-$V177,$W177/30),1)),"")</f>
      </c>
      <c r="AM177" s="201">
        <f>IF($C177,IF($J177="Completado",0,IF($Z177,1,IF(AND($I177&lt;0.5,$K177&lt;=7),0.7,0.3))),"")</f>
      </c>
      <c r="AN177" s="202">
        <f>IF($C177,IF(OR($V177&lt;-0.2,$W177&gt;0),"ATRASO ","")&amp;IF($Z177,"BLOQUEO ","")&amp;IF($Y177&gt;8,"SOBRECARGA ","")&amp;IF($X177&gt;0,"DESVÍO-PLAN ",""),"")</f>
      </c>
    </row>
    <row r="178">
      <c r="A178" s="201">
        <f>ROW()</f>
      </c>
      <c r="B178" s="201">
        <f>ISTEXT('Proyecto Datos (OKR´s)'!$K178)</f>
      </c>
      <c r="C178" s="201">
        <f>AND(LEN('Proyecto Datos (OKR´s)'!$G178)&gt;0,NOT($B178),OR(ISNUMBER('Proyecto Datos (OKR´s)'!$F178),ISNUMBER('Proyecto Datos (OKR´s)'!$L178)))</f>
      </c>
      <c r="D178" s="202">
        <f>IF($C178,IFERROR(LOOKUP(2,1/((ISTEXT('Proyecto Datos (OKR´s)'!$K$7:$K178))*(LEN('Proyecto Datos (OKR´s)'!$G$7:$G178)&gt;0)),'Proyecto Datos (OKR´s)'!$G$7:$G178),""),"")</f>
      </c>
      <c r="E178" s="201">
        <f>IF($C178,'Proyecto Datos (OKR´s)'!$E178,"")</f>
      </c>
      <c r="F178" s="202">
        <f>IF($C178,'Proyecto Datos (OKR´s)'!$G178,"")</f>
      </c>
      <c r="G178" s="202">
        <f>IF($C178,IF('Proyecto Datos (OKR´s)'!$I178="","(Sin asignar)",'Proyecto Datos (OKR´s)'!$I178),"")</f>
      </c>
      <c r="H178" s="201">
        <f>IF($C178,IF(ISNUMBER('Proyecto Datos (OKR´s)'!$F178),'Proyecto Datos (OKR´s)'!$F178,'Proyecto Datos (OKR´s)'!$L178),"")</f>
      </c>
      <c r="I178" s="201">
        <f>IF($C178,'Proyecto Datos (OKR´s)'!$J178,"")</f>
      </c>
      <c r="J178" s="202">
        <f>IF($C178,IF($I178&gt;=1,"Completado",IF($H178&lt;TODAY(),"Vencido",IF(($H178-TODAY())&lt;='Entregas Próximas'!$M$3,"Próximo a vencer","En curso"))),"")</f>
      </c>
      <c r="K178" s="201">
        <f>IF($C178,$H178-TODAY(),"")</f>
      </c>
      <c r="L178" s="201">
        <f>IF($C178,$AD178*1000000+$H178+ROW()/100000,"")</f>
      </c>
      <c r="M178" s="201">
        <f>IF($C178,IF($AD178=9999,"(Sin sprint)",$AD178),"")</f>
      </c>
      <c r="N178" s="201">
        <f>IF($C178,IF('Proyecto Datos (OKR´s)'!$E178="",9999,'Proyecto Datos (OKR´s)'!$E178),"")</f>
      </c>
      <c r="O178" s="201">
        <f>IF($C178,"T"&amp;TEXT(ROW(),"000"),"")</f>
      </c>
      <c r="R178" s="201">
        <f>IF($C178,IF(ISNUMBER('Proyecto Datos (OKR´s)'!$L178),'Proyecto Datos (OKR´s)'!$L178,$H178),"")</f>
      </c>
      <c r="S178" s="201">
        <f>IF($C178,$R178-'Proyecto Datos (OKR´s)'!$K178+1,"")</f>
      </c>
      <c r="T178" s="201">
        <f>IF($C178,MAX(0,TODAY()-'Proyecto Datos (OKR´s)'!$K178),"")</f>
      </c>
      <c r="U178" s="201">
        <f>IF($C178,MEDIAN(0,(TODAY()-'Proyecto Datos (OKR´s)'!$K178)/MAX(1,$R178-'Proyecto Datos (OKR´s)'!$K178),1),"")</f>
      </c>
      <c r="V178" s="201">
        <f>IF($C178,$I178-$U178,"")</f>
      </c>
      <c r="W178" s="201">
        <f>IF($C178,IF($J178="Completado",0,MAX(0,TODAY()-$H178)),"")</f>
      </c>
      <c r="X178" s="201">
        <f>IF($C178,IF(ISNUMBER($H178),$R178-$H178,0),"")</f>
      </c>
      <c r="Y178" s="201">
        <f>IF($C178,COUNTIFS($G$7:$G$200,$G178,$J$7:$J$200,"&lt;&gt;Completado",$J$7:$J$200,"&lt;&gt;"),"")</f>
      </c>
      <c r="Z178" s="201">
        <f>IF($C178,AND($I178=0,'Proyecto Datos (OKR´s)'!$K178&lt;=TODAY(),$J178&lt;&gt;"Completado"),"")</f>
      </c>
      <c r="AA178" s="201">
        <f>IF($C178,ROUND(100*(0.35*$AK178+0.3*$AL178+0.2*$AM178+0.15*MEDIAN(0,($Y178-4)/8,1)),0),"")</f>
      </c>
      <c r="AB178" s="202">
        <f>IF($C178,IF($J178="Completado","—",IF($AA178&gt;=70,"Crítica",IF($AA178&gt;=45,"Alta",IF($AA178&gt;=25,"Media","Baja")))),"")</f>
      </c>
      <c r="AC178" s="202">
        <f>IF($C178,IF(LEN(TRIM($AN178))=0,"—",TRIM($AN178)),"")</f>
      </c>
      <c r="AD178" s="201">
        <f>IF($C178,IF($N178=9999,9999,IF($J178="Completado",$N178,MAX($N178,'Historial de Sprints'!$C$7))),"")</f>
      </c>
      <c r="AE178" s="201">
        <f>IF($C178,IF($AD178=9999,"(Sin sprint)",$AD178),"")</f>
      </c>
      <c r="AF178" s="201">
        <f>IF($C178,AND($N178&lt;&gt;9999,$AD178&lt;&gt;$N178),FALSE)</f>
      </c>
      <c r="AG178" s="201">
        <f>IF($AF178,'Historial de Sprints'!$C$5+$N178*'Historial de Sprints'!$C$6-1,"")</f>
      </c>
      <c r="AH178" s="202">
        <f>IF($AF178,"No completada al cierre del Sprint "&amp;$N178&amp;" -&gt; reasignada al Sprint "&amp;$AD178,"")</f>
      </c>
      <c r="AI178" s="201">
        <f>IF($AF178,$N178*100000+ROW(),"")</f>
      </c>
      <c r="AJ178" s="201">
        <f>IF($C178,$AA178*1000000-MEDIAN(-9999,$K178,9999)*100+(300-ROW()),"")</f>
      </c>
      <c r="AK178" s="201">
        <f>IF($C178,IF($J178="Completado",0,IF($K178&lt;0,1,IF($K178&lt;=3,0.9,IF($K178&lt;=7,0.7,IF($K178&lt;=14,0.45,0.2))))),"")</f>
      </c>
      <c r="AL178" s="201">
        <f>IF($C178,IF($J178="Completado",0,MEDIAN(0,MAX(-$V178,$W178/30),1)),"")</f>
      </c>
      <c r="AM178" s="201">
        <f>IF($C178,IF($J178="Completado",0,IF($Z178,1,IF(AND($I178&lt;0.5,$K178&lt;=7),0.7,0.3))),"")</f>
      </c>
      <c r="AN178" s="202">
        <f>IF($C178,IF(OR($V178&lt;-0.2,$W178&gt;0),"ATRASO ","")&amp;IF($Z178,"BLOQUEO ","")&amp;IF($Y178&gt;8,"SOBRECARGA ","")&amp;IF($X178&gt;0,"DESVÍO-PLAN ",""),"")</f>
      </c>
    </row>
    <row r="179">
      <c r="A179" s="201">
        <f>ROW()</f>
      </c>
      <c r="B179" s="201">
        <f>ISTEXT('Proyecto Datos (OKR´s)'!$K179)</f>
      </c>
      <c r="C179" s="201">
        <f>AND(LEN('Proyecto Datos (OKR´s)'!$G179)&gt;0,NOT($B179),OR(ISNUMBER('Proyecto Datos (OKR´s)'!$F179),ISNUMBER('Proyecto Datos (OKR´s)'!$L179)))</f>
      </c>
      <c r="D179" s="202">
        <f>IF($C179,IFERROR(LOOKUP(2,1/((ISTEXT('Proyecto Datos (OKR´s)'!$K$7:$K179))*(LEN('Proyecto Datos (OKR´s)'!$G$7:$G179)&gt;0)),'Proyecto Datos (OKR´s)'!$G$7:$G179),""),"")</f>
      </c>
      <c r="E179" s="201">
        <f>IF($C179,'Proyecto Datos (OKR´s)'!$E179,"")</f>
      </c>
      <c r="F179" s="202">
        <f>IF($C179,'Proyecto Datos (OKR´s)'!$G179,"")</f>
      </c>
      <c r="G179" s="202">
        <f>IF($C179,IF('Proyecto Datos (OKR´s)'!$I179="","(Sin asignar)",'Proyecto Datos (OKR´s)'!$I179),"")</f>
      </c>
      <c r="H179" s="201">
        <f>IF($C179,IF(ISNUMBER('Proyecto Datos (OKR´s)'!$F179),'Proyecto Datos (OKR´s)'!$F179,'Proyecto Datos (OKR´s)'!$L179),"")</f>
      </c>
      <c r="I179" s="201">
        <f>IF($C179,'Proyecto Datos (OKR´s)'!$J179,"")</f>
      </c>
      <c r="J179" s="202">
        <f>IF($C179,IF($I179&gt;=1,"Completado",IF($H179&lt;TODAY(),"Vencido",IF(($H179-TODAY())&lt;='Entregas Próximas'!$M$3,"Próximo a vencer","En curso"))),"")</f>
      </c>
      <c r="K179" s="201">
        <f>IF($C179,$H179-TODAY(),"")</f>
      </c>
      <c r="L179" s="201">
        <f>IF($C179,$AD179*1000000+$H179+ROW()/100000,"")</f>
      </c>
      <c r="M179" s="201">
        <f>IF($C179,IF($AD179=9999,"(Sin sprint)",$AD179),"")</f>
      </c>
      <c r="N179" s="201">
        <f>IF($C179,IF('Proyecto Datos (OKR´s)'!$E179="",9999,'Proyecto Datos (OKR´s)'!$E179),"")</f>
      </c>
      <c r="O179" s="201">
        <f>IF($C179,"T"&amp;TEXT(ROW(),"000"),"")</f>
      </c>
      <c r="R179" s="201">
        <f>IF($C179,IF(ISNUMBER('Proyecto Datos (OKR´s)'!$L179),'Proyecto Datos (OKR´s)'!$L179,$H179),"")</f>
      </c>
      <c r="S179" s="201">
        <f>IF($C179,$R179-'Proyecto Datos (OKR´s)'!$K179+1,"")</f>
      </c>
      <c r="T179" s="201">
        <f>IF($C179,MAX(0,TODAY()-'Proyecto Datos (OKR´s)'!$K179),"")</f>
      </c>
      <c r="U179" s="201">
        <f>IF($C179,MEDIAN(0,(TODAY()-'Proyecto Datos (OKR´s)'!$K179)/MAX(1,$R179-'Proyecto Datos (OKR´s)'!$K179),1),"")</f>
      </c>
      <c r="V179" s="201">
        <f>IF($C179,$I179-$U179,"")</f>
      </c>
      <c r="W179" s="201">
        <f>IF($C179,IF($J179="Completado",0,MAX(0,TODAY()-$H179)),"")</f>
      </c>
      <c r="X179" s="201">
        <f>IF($C179,IF(ISNUMBER($H179),$R179-$H179,0),"")</f>
      </c>
      <c r="Y179" s="201">
        <f>IF($C179,COUNTIFS($G$7:$G$200,$G179,$J$7:$J$200,"&lt;&gt;Completado",$J$7:$J$200,"&lt;&gt;"),"")</f>
      </c>
      <c r="Z179" s="201">
        <f>IF($C179,AND($I179=0,'Proyecto Datos (OKR´s)'!$K179&lt;=TODAY(),$J179&lt;&gt;"Completado"),"")</f>
      </c>
      <c r="AA179" s="201">
        <f>IF($C179,ROUND(100*(0.35*$AK179+0.3*$AL179+0.2*$AM179+0.15*MEDIAN(0,($Y179-4)/8,1)),0),"")</f>
      </c>
      <c r="AB179" s="202">
        <f>IF($C179,IF($J179="Completado","—",IF($AA179&gt;=70,"Crítica",IF($AA179&gt;=45,"Alta",IF($AA179&gt;=25,"Media","Baja")))),"")</f>
      </c>
      <c r="AC179" s="202">
        <f>IF($C179,IF(LEN(TRIM($AN179))=0,"—",TRIM($AN179)),"")</f>
      </c>
      <c r="AD179" s="201">
        <f>IF($C179,IF($N179=9999,9999,IF($J179="Completado",$N179,MAX($N179,'Historial de Sprints'!$C$7))),"")</f>
      </c>
      <c r="AE179" s="201">
        <f>IF($C179,IF($AD179=9999,"(Sin sprint)",$AD179),"")</f>
      </c>
      <c r="AF179" s="201">
        <f>IF($C179,AND($N179&lt;&gt;9999,$AD179&lt;&gt;$N179),FALSE)</f>
      </c>
      <c r="AG179" s="201">
        <f>IF($AF179,'Historial de Sprints'!$C$5+$N179*'Historial de Sprints'!$C$6-1,"")</f>
      </c>
      <c r="AH179" s="202">
        <f>IF($AF179,"No completada al cierre del Sprint "&amp;$N179&amp;" -&gt; reasignada al Sprint "&amp;$AD179,"")</f>
      </c>
      <c r="AI179" s="201">
        <f>IF($AF179,$N179*100000+ROW(),"")</f>
      </c>
      <c r="AJ179" s="201">
        <f>IF($C179,$AA179*1000000-MEDIAN(-9999,$K179,9999)*100+(300-ROW()),"")</f>
      </c>
      <c r="AK179" s="201">
        <f>IF($C179,IF($J179="Completado",0,IF($K179&lt;0,1,IF($K179&lt;=3,0.9,IF($K179&lt;=7,0.7,IF($K179&lt;=14,0.45,0.2))))),"")</f>
      </c>
      <c r="AL179" s="201">
        <f>IF($C179,IF($J179="Completado",0,MEDIAN(0,MAX(-$V179,$W179/30),1)),"")</f>
      </c>
      <c r="AM179" s="201">
        <f>IF($C179,IF($J179="Completado",0,IF($Z179,1,IF(AND($I179&lt;0.5,$K179&lt;=7),0.7,0.3))),"")</f>
      </c>
      <c r="AN179" s="202">
        <f>IF($C179,IF(OR($V179&lt;-0.2,$W179&gt;0),"ATRASO ","")&amp;IF($Z179,"BLOQUEO ","")&amp;IF($Y179&gt;8,"SOBRECARGA ","")&amp;IF($X179&gt;0,"DESVÍO-PLAN ",""),"")</f>
      </c>
    </row>
    <row r="180">
      <c r="A180" s="201">
        <f>ROW()</f>
      </c>
      <c r="B180" s="201">
        <f>ISTEXT('Proyecto Datos (OKR´s)'!$K180)</f>
      </c>
      <c r="C180" s="201">
        <f>AND(LEN('Proyecto Datos (OKR´s)'!$G180)&gt;0,NOT($B180),OR(ISNUMBER('Proyecto Datos (OKR´s)'!$F180),ISNUMBER('Proyecto Datos (OKR´s)'!$L180)))</f>
      </c>
      <c r="D180" s="202">
        <f>IF($C180,IFERROR(LOOKUP(2,1/((ISTEXT('Proyecto Datos (OKR´s)'!$K$7:$K180))*(LEN('Proyecto Datos (OKR´s)'!$G$7:$G180)&gt;0)),'Proyecto Datos (OKR´s)'!$G$7:$G180),""),"")</f>
      </c>
      <c r="E180" s="201">
        <f>IF($C180,'Proyecto Datos (OKR´s)'!$E180,"")</f>
      </c>
      <c r="F180" s="202">
        <f>IF($C180,'Proyecto Datos (OKR´s)'!$G180,"")</f>
      </c>
      <c r="G180" s="202">
        <f>IF($C180,IF('Proyecto Datos (OKR´s)'!$I180="","(Sin asignar)",'Proyecto Datos (OKR´s)'!$I180),"")</f>
      </c>
      <c r="H180" s="201">
        <f>IF($C180,IF(ISNUMBER('Proyecto Datos (OKR´s)'!$F180),'Proyecto Datos (OKR´s)'!$F180,'Proyecto Datos (OKR´s)'!$L180),"")</f>
      </c>
      <c r="I180" s="201">
        <f>IF($C180,'Proyecto Datos (OKR´s)'!$J180,"")</f>
      </c>
      <c r="J180" s="202">
        <f>IF($C180,IF($I180&gt;=1,"Completado",IF($H180&lt;TODAY(),"Vencido",IF(($H180-TODAY())&lt;='Entregas Próximas'!$M$3,"Próximo a vencer","En curso"))),"")</f>
      </c>
      <c r="K180" s="201">
        <f>IF($C180,$H180-TODAY(),"")</f>
      </c>
      <c r="L180" s="201">
        <f>IF($C180,$AD180*1000000+$H180+ROW()/100000,"")</f>
      </c>
      <c r="M180" s="201">
        <f>IF($C180,IF($AD180=9999,"(Sin sprint)",$AD180),"")</f>
      </c>
      <c r="N180" s="201">
        <f>IF($C180,IF('Proyecto Datos (OKR´s)'!$E180="",9999,'Proyecto Datos (OKR´s)'!$E180),"")</f>
      </c>
      <c r="O180" s="201">
        <f>IF($C180,"T"&amp;TEXT(ROW(),"000"),"")</f>
      </c>
      <c r="R180" s="201">
        <f>IF($C180,IF(ISNUMBER('Proyecto Datos (OKR´s)'!$L180),'Proyecto Datos (OKR´s)'!$L180,$H180),"")</f>
      </c>
      <c r="S180" s="201">
        <f>IF($C180,$R180-'Proyecto Datos (OKR´s)'!$K180+1,"")</f>
      </c>
      <c r="T180" s="201">
        <f>IF($C180,MAX(0,TODAY()-'Proyecto Datos (OKR´s)'!$K180),"")</f>
      </c>
      <c r="U180" s="201">
        <f>IF($C180,MEDIAN(0,(TODAY()-'Proyecto Datos (OKR´s)'!$K180)/MAX(1,$R180-'Proyecto Datos (OKR´s)'!$K180),1),"")</f>
      </c>
      <c r="V180" s="201">
        <f>IF($C180,$I180-$U180,"")</f>
      </c>
      <c r="W180" s="201">
        <f>IF($C180,IF($J180="Completado",0,MAX(0,TODAY()-$H180)),"")</f>
      </c>
      <c r="X180" s="201">
        <f>IF($C180,IF(ISNUMBER($H180),$R180-$H180,0),"")</f>
      </c>
      <c r="Y180" s="201">
        <f>IF($C180,COUNTIFS($G$7:$G$200,$G180,$J$7:$J$200,"&lt;&gt;Completado",$J$7:$J$200,"&lt;&gt;"),"")</f>
      </c>
      <c r="Z180" s="201">
        <f>IF($C180,AND($I180=0,'Proyecto Datos (OKR´s)'!$K180&lt;=TODAY(),$J180&lt;&gt;"Completado"),"")</f>
      </c>
      <c r="AA180" s="201">
        <f>IF($C180,ROUND(100*(0.35*$AK180+0.3*$AL180+0.2*$AM180+0.15*MEDIAN(0,($Y180-4)/8,1)),0),"")</f>
      </c>
      <c r="AB180" s="202">
        <f>IF($C180,IF($J180="Completado","—",IF($AA180&gt;=70,"Crítica",IF($AA180&gt;=45,"Alta",IF($AA180&gt;=25,"Media","Baja")))),"")</f>
      </c>
      <c r="AC180" s="202">
        <f>IF($C180,IF(LEN(TRIM($AN180))=0,"—",TRIM($AN180)),"")</f>
      </c>
      <c r="AD180" s="201">
        <f>IF($C180,IF($N180=9999,9999,IF($J180="Completado",$N180,MAX($N180,'Historial de Sprints'!$C$7))),"")</f>
      </c>
      <c r="AE180" s="201">
        <f>IF($C180,IF($AD180=9999,"(Sin sprint)",$AD180),"")</f>
      </c>
      <c r="AF180" s="201">
        <f>IF($C180,AND($N180&lt;&gt;9999,$AD180&lt;&gt;$N180),FALSE)</f>
      </c>
      <c r="AG180" s="201">
        <f>IF($AF180,'Historial de Sprints'!$C$5+$N180*'Historial de Sprints'!$C$6-1,"")</f>
      </c>
      <c r="AH180" s="202">
        <f>IF($AF180,"No completada al cierre del Sprint "&amp;$N180&amp;" -&gt; reasignada al Sprint "&amp;$AD180,"")</f>
      </c>
      <c r="AI180" s="201">
        <f>IF($AF180,$N180*100000+ROW(),"")</f>
      </c>
      <c r="AJ180" s="201">
        <f>IF($C180,$AA180*1000000-MEDIAN(-9999,$K180,9999)*100+(300-ROW()),"")</f>
      </c>
      <c r="AK180" s="201">
        <f>IF($C180,IF($J180="Completado",0,IF($K180&lt;0,1,IF($K180&lt;=3,0.9,IF($K180&lt;=7,0.7,IF($K180&lt;=14,0.45,0.2))))),"")</f>
      </c>
      <c r="AL180" s="201">
        <f>IF($C180,IF($J180="Completado",0,MEDIAN(0,MAX(-$V180,$W180/30),1)),"")</f>
      </c>
      <c r="AM180" s="201">
        <f>IF($C180,IF($J180="Completado",0,IF($Z180,1,IF(AND($I180&lt;0.5,$K180&lt;=7),0.7,0.3))),"")</f>
      </c>
      <c r="AN180" s="202">
        <f>IF($C180,IF(OR($V180&lt;-0.2,$W180&gt;0),"ATRASO ","")&amp;IF($Z180,"BLOQUEO ","")&amp;IF($Y180&gt;8,"SOBRECARGA ","")&amp;IF($X180&gt;0,"DESVÍO-PLAN ",""),"")</f>
      </c>
    </row>
    <row r="181">
      <c r="A181" s="201">
        <f>ROW()</f>
      </c>
      <c r="B181" s="201">
        <f>ISTEXT('Proyecto Datos (OKR´s)'!$K181)</f>
      </c>
      <c r="C181" s="201">
        <f>AND(LEN('Proyecto Datos (OKR´s)'!$G181)&gt;0,NOT($B181),OR(ISNUMBER('Proyecto Datos (OKR´s)'!$F181),ISNUMBER('Proyecto Datos (OKR´s)'!$L181)))</f>
      </c>
      <c r="D181" s="202">
        <f>IF($C181,IFERROR(LOOKUP(2,1/((ISTEXT('Proyecto Datos (OKR´s)'!$K$7:$K181))*(LEN('Proyecto Datos (OKR´s)'!$G$7:$G181)&gt;0)),'Proyecto Datos (OKR´s)'!$G$7:$G181),""),"")</f>
      </c>
      <c r="E181" s="201">
        <f>IF($C181,'Proyecto Datos (OKR´s)'!$E181,"")</f>
      </c>
      <c r="F181" s="202">
        <f>IF($C181,'Proyecto Datos (OKR´s)'!$G181,"")</f>
      </c>
      <c r="G181" s="202">
        <f>IF($C181,IF('Proyecto Datos (OKR´s)'!$I181="","(Sin asignar)",'Proyecto Datos (OKR´s)'!$I181),"")</f>
      </c>
      <c r="H181" s="201">
        <f>IF($C181,IF(ISNUMBER('Proyecto Datos (OKR´s)'!$F181),'Proyecto Datos (OKR´s)'!$F181,'Proyecto Datos (OKR´s)'!$L181),"")</f>
      </c>
      <c r="I181" s="201">
        <f>IF($C181,'Proyecto Datos (OKR´s)'!$J181,"")</f>
      </c>
      <c r="J181" s="202">
        <f>IF($C181,IF($I181&gt;=1,"Completado",IF($H181&lt;TODAY(),"Vencido",IF(($H181-TODAY())&lt;='Entregas Próximas'!$M$3,"Próximo a vencer","En curso"))),"")</f>
      </c>
      <c r="K181" s="201">
        <f>IF($C181,$H181-TODAY(),"")</f>
      </c>
      <c r="L181" s="201">
        <f>IF($C181,$AD181*1000000+$H181+ROW()/100000,"")</f>
      </c>
      <c r="M181" s="201">
        <f>IF($C181,IF($AD181=9999,"(Sin sprint)",$AD181),"")</f>
      </c>
      <c r="N181" s="201">
        <f>IF($C181,IF('Proyecto Datos (OKR´s)'!$E181="",9999,'Proyecto Datos (OKR´s)'!$E181),"")</f>
      </c>
      <c r="O181" s="201">
        <f>IF($C181,"T"&amp;TEXT(ROW(),"000"),"")</f>
      </c>
      <c r="R181" s="201">
        <f>IF($C181,IF(ISNUMBER('Proyecto Datos (OKR´s)'!$L181),'Proyecto Datos (OKR´s)'!$L181,$H181),"")</f>
      </c>
      <c r="S181" s="201">
        <f>IF($C181,$R181-'Proyecto Datos (OKR´s)'!$K181+1,"")</f>
      </c>
      <c r="T181" s="201">
        <f>IF($C181,MAX(0,TODAY()-'Proyecto Datos (OKR´s)'!$K181),"")</f>
      </c>
      <c r="U181" s="201">
        <f>IF($C181,MEDIAN(0,(TODAY()-'Proyecto Datos (OKR´s)'!$K181)/MAX(1,$R181-'Proyecto Datos (OKR´s)'!$K181),1),"")</f>
      </c>
      <c r="V181" s="201">
        <f>IF($C181,$I181-$U181,"")</f>
      </c>
      <c r="W181" s="201">
        <f>IF($C181,IF($J181="Completado",0,MAX(0,TODAY()-$H181)),"")</f>
      </c>
      <c r="X181" s="201">
        <f>IF($C181,IF(ISNUMBER($H181),$R181-$H181,0),"")</f>
      </c>
      <c r="Y181" s="201">
        <f>IF($C181,COUNTIFS($G$7:$G$200,$G181,$J$7:$J$200,"&lt;&gt;Completado",$J$7:$J$200,"&lt;&gt;"),"")</f>
      </c>
      <c r="Z181" s="201">
        <f>IF($C181,AND($I181=0,'Proyecto Datos (OKR´s)'!$K181&lt;=TODAY(),$J181&lt;&gt;"Completado"),"")</f>
      </c>
      <c r="AA181" s="201">
        <f>IF($C181,ROUND(100*(0.35*$AK181+0.3*$AL181+0.2*$AM181+0.15*MEDIAN(0,($Y181-4)/8,1)),0),"")</f>
      </c>
      <c r="AB181" s="202">
        <f>IF($C181,IF($J181="Completado","—",IF($AA181&gt;=70,"Crítica",IF($AA181&gt;=45,"Alta",IF($AA181&gt;=25,"Media","Baja")))),"")</f>
      </c>
      <c r="AC181" s="202">
        <f>IF($C181,IF(LEN(TRIM($AN181))=0,"—",TRIM($AN181)),"")</f>
      </c>
      <c r="AD181" s="201">
        <f>IF($C181,IF($N181=9999,9999,IF($J181="Completado",$N181,MAX($N181,'Historial de Sprints'!$C$7))),"")</f>
      </c>
      <c r="AE181" s="201">
        <f>IF($C181,IF($AD181=9999,"(Sin sprint)",$AD181),"")</f>
      </c>
      <c r="AF181" s="201">
        <f>IF($C181,AND($N181&lt;&gt;9999,$AD181&lt;&gt;$N181),FALSE)</f>
      </c>
      <c r="AG181" s="201">
        <f>IF($AF181,'Historial de Sprints'!$C$5+$N181*'Historial de Sprints'!$C$6-1,"")</f>
      </c>
      <c r="AH181" s="202">
        <f>IF($AF181,"No completada al cierre del Sprint "&amp;$N181&amp;" -&gt; reasignada al Sprint "&amp;$AD181,"")</f>
      </c>
      <c r="AI181" s="201">
        <f>IF($AF181,$N181*100000+ROW(),"")</f>
      </c>
      <c r="AJ181" s="201">
        <f>IF($C181,$AA181*1000000-MEDIAN(-9999,$K181,9999)*100+(300-ROW()),"")</f>
      </c>
      <c r="AK181" s="201">
        <f>IF($C181,IF($J181="Completado",0,IF($K181&lt;0,1,IF($K181&lt;=3,0.9,IF($K181&lt;=7,0.7,IF($K181&lt;=14,0.45,0.2))))),"")</f>
      </c>
      <c r="AL181" s="201">
        <f>IF($C181,IF($J181="Completado",0,MEDIAN(0,MAX(-$V181,$W181/30),1)),"")</f>
      </c>
      <c r="AM181" s="201">
        <f>IF($C181,IF($J181="Completado",0,IF($Z181,1,IF(AND($I181&lt;0.5,$K181&lt;=7),0.7,0.3))),"")</f>
      </c>
      <c r="AN181" s="202">
        <f>IF($C181,IF(OR($V181&lt;-0.2,$W181&gt;0),"ATRASO ","")&amp;IF($Z181,"BLOQUEO ","")&amp;IF($Y181&gt;8,"SOBRECARGA ","")&amp;IF($X181&gt;0,"DESVÍO-PLAN ",""),"")</f>
      </c>
    </row>
    <row r="182">
      <c r="A182" s="201">
        <f>ROW()</f>
      </c>
      <c r="B182" s="201">
        <f>ISTEXT('Proyecto Datos (OKR´s)'!$K182)</f>
      </c>
      <c r="C182" s="201">
        <f>AND(LEN('Proyecto Datos (OKR´s)'!$G182)&gt;0,NOT($B182),OR(ISNUMBER('Proyecto Datos (OKR´s)'!$F182),ISNUMBER('Proyecto Datos (OKR´s)'!$L182)))</f>
      </c>
      <c r="D182" s="202">
        <f>IF($C182,IFERROR(LOOKUP(2,1/((ISTEXT('Proyecto Datos (OKR´s)'!$K$7:$K182))*(LEN('Proyecto Datos (OKR´s)'!$G$7:$G182)&gt;0)),'Proyecto Datos (OKR´s)'!$G$7:$G182),""),"")</f>
      </c>
      <c r="E182" s="201">
        <f>IF($C182,'Proyecto Datos (OKR´s)'!$E182,"")</f>
      </c>
      <c r="F182" s="202">
        <f>IF($C182,'Proyecto Datos (OKR´s)'!$G182,"")</f>
      </c>
      <c r="G182" s="202">
        <f>IF($C182,IF('Proyecto Datos (OKR´s)'!$I182="","(Sin asignar)",'Proyecto Datos (OKR´s)'!$I182),"")</f>
      </c>
      <c r="H182" s="201">
        <f>IF($C182,IF(ISNUMBER('Proyecto Datos (OKR´s)'!$F182),'Proyecto Datos (OKR´s)'!$F182,'Proyecto Datos (OKR´s)'!$L182),"")</f>
      </c>
      <c r="I182" s="201">
        <f>IF($C182,'Proyecto Datos (OKR´s)'!$J182,"")</f>
      </c>
      <c r="J182" s="202">
        <f>IF($C182,IF($I182&gt;=1,"Completado",IF($H182&lt;TODAY(),"Vencido",IF(($H182-TODAY())&lt;='Entregas Próximas'!$M$3,"Próximo a vencer","En curso"))),"")</f>
      </c>
      <c r="K182" s="201">
        <f>IF($C182,$H182-TODAY(),"")</f>
      </c>
      <c r="L182" s="201">
        <f>IF($C182,$AD182*1000000+$H182+ROW()/100000,"")</f>
      </c>
      <c r="M182" s="201">
        <f>IF($C182,IF($AD182=9999,"(Sin sprint)",$AD182),"")</f>
      </c>
      <c r="N182" s="201">
        <f>IF($C182,IF('Proyecto Datos (OKR´s)'!$E182="",9999,'Proyecto Datos (OKR´s)'!$E182),"")</f>
      </c>
      <c r="O182" s="201">
        <f>IF($C182,"T"&amp;TEXT(ROW(),"000"),"")</f>
      </c>
      <c r="R182" s="201">
        <f>IF($C182,IF(ISNUMBER('Proyecto Datos (OKR´s)'!$L182),'Proyecto Datos (OKR´s)'!$L182,$H182),"")</f>
      </c>
      <c r="S182" s="201">
        <f>IF($C182,$R182-'Proyecto Datos (OKR´s)'!$K182+1,"")</f>
      </c>
      <c r="T182" s="201">
        <f>IF($C182,MAX(0,TODAY()-'Proyecto Datos (OKR´s)'!$K182),"")</f>
      </c>
      <c r="U182" s="201">
        <f>IF($C182,MEDIAN(0,(TODAY()-'Proyecto Datos (OKR´s)'!$K182)/MAX(1,$R182-'Proyecto Datos (OKR´s)'!$K182),1),"")</f>
      </c>
      <c r="V182" s="201">
        <f>IF($C182,$I182-$U182,"")</f>
      </c>
      <c r="W182" s="201">
        <f>IF($C182,IF($J182="Completado",0,MAX(0,TODAY()-$H182)),"")</f>
      </c>
      <c r="X182" s="201">
        <f>IF($C182,IF(ISNUMBER($H182),$R182-$H182,0),"")</f>
      </c>
      <c r="Y182" s="201">
        <f>IF($C182,COUNTIFS($G$7:$G$200,$G182,$J$7:$J$200,"&lt;&gt;Completado",$J$7:$J$200,"&lt;&gt;"),"")</f>
      </c>
      <c r="Z182" s="201">
        <f>IF($C182,AND($I182=0,'Proyecto Datos (OKR´s)'!$K182&lt;=TODAY(),$J182&lt;&gt;"Completado"),"")</f>
      </c>
      <c r="AA182" s="201">
        <f>IF($C182,ROUND(100*(0.35*$AK182+0.3*$AL182+0.2*$AM182+0.15*MEDIAN(0,($Y182-4)/8,1)),0),"")</f>
      </c>
      <c r="AB182" s="202">
        <f>IF($C182,IF($J182="Completado","—",IF($AA182&gt;=70,"Crítica",IF($AA182&gt;=45,"Alta",IF($AA182&gt;=25,"Media","Baja")))),"")</f>
      </c>
      <c r="AC182" s="202">
        <f>IF($C182,IF(LEN(TRIM($AN182))=0,"—",TRIM($AN182)),"")</f>
      </c>
      <c r="AD182" s="201">
        <f>IF($C182,IF($N182=9999,9999,IF($J182="Completado",$N182,MAX($N182,'Historial de Sprints'!$C$7))),"")</f>
      </c>
      <c r="AE182" s="201">
        <f>IF($C182,IF($AD182=9999,"(Sin sprint)",$AD182),"")</f>
      </c>
      <c r="AF182" s="201">
        <f>IF($C182,AND($N182&lt;&gt;9999,$AD182&lt;&gt;$N182),FALSE)</f>
      </c>
      <c r="AG182" s="201">
        <f>IF($AF182,'Historial de Sprints'!$C$5+$N182*'Historial de Sprints'!$C$6-1,"")</f>
      </c>
      <c r="AH182" s="202">
        <f>IF($AF182,"No completada al cierre del Sprint "&amp;$N182&amp;" -&gt; reasignada al Sprint "&amp;$AD182,"")</f>
      </c>
      <c r="AI182" s="201">
        <f>IF($AF182,$N182*100000+ROW(),"")</f>
      </c>
      <c r="AJ182" s="201">
        <f>IF($C182,$AA182*1000000-MEDIAN(-9999,$K182,9999)*100+(300-ROW()),"")</f>
      </c>
      <c r="AK182" s="201">
        <f>IF($C182,IF($J182="Completado",0,IF($K182&lt;0,1,IF($K182&lt;=3,0.9,IF($K182&lt;=7,0.7,IF($K182&lt;=14,0.45,0.2))))),"")</f>
      </c>
      <c r="AL182" s="201">
        <f>IF($C182,IF($J182="Completado",0,MEDIAN(0,MAX(-$V182,$W182/30),1)),"")</f>
      </c>
      <c r="AM182" s="201">
        <f>IF($C182,IF($J182="Completado",0,IF($Z182,1,IF(AND($I182&lt;0.5,$K182&lt;=7),0.7,0.3))),"")</f>
      </c>
      <c r="AN182" s="202">
        <f>IF($C182,IF(OR($V182&lt;-0.2,$W182&gt;0),"ATRASO ","")&amp;IF($Z182,"BLOQUEO ","")&amp;IF($Y182&gt;8,"SOBRECARGA ","")&amp;IF($X182&gt;0,"DESVÍO-PLAN ",""),"")</f>
      </c>
    </row>
    <row r="183">
      <c r="A183" s="201">
        <f>ROW()</f>
      </c>
      <c r="B183" s="201">
        <f>ISTEXT('Proyecto Datos (OKR´s)'!$K183)</f>
      </c>
      <c r="C183" s="201">
        <f>AND(LEN('Proyecto Datos (OKR´s)'!$G183)&gt;0,NOT($B183),OR(ISNUMBER('Proyecto Datos (OKR´s)'!$F183),ISNUMBER('Proyecto Datos (OKR´s)'!$L183)))</f>
      </c>
      <c r="D183" s="202">
        <f>IF($C183,IFERROR(LOOKUP(2,1/((ISTEXT('Proyecto Datos (OKR´s)'!$K$7:$K183))*(LEN('Proyecto Datos (OKR´s)'!$G$7:$G183)&gt;0)),'Proyecto Datos (OKR´s)'!$G$7:$G183),""),"")</f>
      </c>
      <c r="E183" s="201">
        <f>IF($C183,'Proyecto Datos (OKR´s)'!$E183,"")</f>
      </c>
      <c r="F183" s="202">
        <f>IF($C183,'Proyecto Datos (OKR´s)'!$G183,"")</f>
      </c>
      <c r="G183" s="202">
        <f>IF($C183,IF('Proyecto Datos (OKR´s)'!$I183="","(Sin asignar)",'Proyecto Datos (OKR´s)'!$I183),"")</f>
      </c>
      <c r="H183" s="201">
        <f>IF($C183,IF(ISNUMBER('Proyecto Datos (OKR´s)'!$F183),'Proyecto Datos (OKR´s)'!$F183,'Proyecto Datos (OKR´s)'!$L183),"")</f>
      </c>
      <c r="I183" s="201">
        <f>IF($C183,'Proyecto Datos (OKR´s)'!$J183,"")</f>
      </c>
      <c r="J183" s="202">
        <f>IF($C183,IF($I183&gt;=1,"Completado",IF($H183&lt;TODAY(),"Vencido",IF(($H183-TODAY())&lt;='Entregas Próximas'!$M$3,"Próximo a vencer","En curso"))),"")</f>
      </c>
      <c r="K183" s="201">
        <f>IF($C183,$H183-TODAY(),"")</f>
      </c>
      <c r="L183" s="201">
        <f>IF($C183,$AD183*1000000+$H183+ROW()/100000,"")</f>
      </c>
      <c r="M183" s="201">
        <f>IF($C183,IF($AD183=9999,"(Sin sprint)",$AD183),"")</f>
      </c>
      <c r="N183" s="201">
        <f>IF($C183,IF('Proyecto Datos (OKR´s)'!$E183="",9999,'Proyecto Datos (OKR´s)'!$E183),"")</f>
      </c>
      <c r="O183" s="201">
        <f>IF($C183,"T"&amp;TEXT(ROW(),"000"),"")</f>
      </c>
      <c r="R183" s="201">
        <f>IF($C183,IF(ISNUMBER('Proyecto Datos (OKR´s)'!$L183),'Proyecto Datos (OKR´s)'!$L183,$H183),"")</f>
      </c>
      <c r="S183" s="201">
        <f>IF($C183,$R183-'Proyecto Datos (OKR´s)'!$K183+1,"")</f>
      </c>
      <c r="T183" s="201">
        <f>IF($C183,MAX(0,TODAY()-'Proyecto Datos (OKR´s)'!$K183),"")</f>
      </c>
      <c r="U183" s="201">
        <f>IF($C183,MEDIAN(0,(TODAY()-'Proyecto Datos (OKR´s)'!$K183)/MAX(1,$R183-'Proyecto Datos (OKR´s)'!$K183),1),"")</f>
      </c>
      <c r="V183" s="201">
        <f>IF($C183,$I183-$U183,"")</f>
      </c>
      <c r="W183" s="201">
        <f>IF($C183,IF($J183="Completado",0,MAX(0,TODAY()-$H183)),"")</f>
      </c>
      <c r="X183" s="201">
        <f>IF($C183,IF(ISNUMBER($H183),$R183-$H183,0),"")</f>
      </c>
      <c r="Y183" s="201">
        <f>IF($C183,COUNTIFS($G$7:$G$200,$G183,$J$7:$J$200,"&lt;&gt;Completado",$J$7:$J$200,"&lt;&gt;"),"")</f>
      </c>
      <c r="Z183" s="201">
        <f>IF($C183,AND($I183=0,'Proyecto Datos (OKR´s)'!$K183&lt;=TODAY(),$J183&lt;&gt;"Completado"),"")</f>
      </c>
      <c r="AA183" s="201">
        <f>IF($C183,ROUND(100*(0.35*$AK183+0.3*$AL183+0.2*$AM183+0.15*MEDIAN(0,($Y183-4)/8,1)),0),"")</f>
      </c>
      <c r="AB183" s="202">
        <f>IF($C183,IF($J183="Completado","—",IF($AA183&gt;=70,"Crítica",IF($AA183&gt;=45,"Alta",IF($AA183&gt;=25,"Media","Baja")))),"")</f>
      </c>
      <c r="AC183" s="202">
        <f>IF($C183,IF(LEN(TRIM($AN183))=0,"—",TRIM($AN183)),"")</f>
      </c>
      <c r="AD183" s="201">
        <f>IF($C183,IF($N183=9999,9999,IF($J183="Completado",$N183,MAX($N183,'Historial de Sprints'!$C$7))),"")</f>
      </c>
      <c r="AE183" s="201">
        <f>IF($C183,IF($AD183=9999,"(Sin sprint)",$AD183),"")</f>
      </c>
      <c r="AF183" s="201">
        <f>IF($C183,AND($N183&lt;&gt;9999,$AD183&lt;&gt;$N183),FALSE)</f>
      </c>
      <c r="AG183" s="201">
        <f>IF($AF183,'Historial de Sprints'!$C$5+$N183*'Historial de Sprints'!$C$6-1,"")</f>
      </c>
      <c r="AH183" s="202">
        <f>IF($AF183,"No completada al cierre del Sprint "&amp;$N183&amp;" -&gt; reasignada al Sprint "&amp;$AD183,"")</f>
      </c>
      <c r="AI183" s="201">
        <f>IF($AF183,$N183*100000+ROW(),"")</f>
      </c>
      <c r="AJ183" s="201">
        <f>IF($C183,$AA183*1000000-MEDIAN(-9999,$K183,9999)*100+(300-ROW()),"")</f>
      </c>
      <c r="AK183" s="201">
        <f>IF($C183,IF($J183="Completado",0,IF($K183&lt;0,1,IF($K183&lt;=3,0.9,IF($K183&lt;=7,0.7,IF($K183&lt;=14,0.45,0.2))))),"")</f>
      </c>
      <c r="AL183" s="201">
        <f>IF($C183,IF($J183="Completado",0,MEDIAN(0,MAX(-$V183,$W183/30),1)),"")</f>
      </c>
      <c r="AM183" s="201">
        <f>IF($C183,IF($J183="Completado",0,IF($Z183,1,IF(AND($I183&lt;0.5,$K183&lt;=7),0.7,0.3))),"")</f>
      </c>
      <c r="AN183" s="202">
        <f>IF($C183,IF(OR($V183&lt;-0.2,$W183&gt;0),"ATRASO ","")&amp;IF($Z183,"BLOQUEO ","")&amp;IF($Y183&gt;8,"SOBRECARGA ","")&amp;IF($X183&gt;0,"DESVÍO-PLAN ",""),"")</f>
      </c>
    </row>
    <row r="184">
      <c r="A184" s="201">
        <f>ROW()</f>
      </c>
      <c r="B184" s="201">
        <f>ISTEXT('Proyecto Datos (OKR´s)'!$K184)</f>
      </c>
      <c r="C184" s="201">
        <f>AND(LEN('Proyecto Datos (OKR´s)'!$G184)&gt;0,NOT($B184),OR(ISNUMBER('Proyecto Datos (OKR´s)'!$F184),ISNUMBER('Proyecto Datos (OKR´s)'!$L184)))</f>
      </c>
      <c r="D184" s="202">
        <f>IF($C184,IFERROR(LOOKUP(2,1/((ISTEXT('Proyecto Datos (OKR´s)'!$K$7:$K184))*(LEN('Proyecto Datos (OKR´s)'!$G$7:$G184)&gt;0)),'Proyecto Datos (OKR´s)'!$G$7:$G184),""),"")</f>
      </c>
      <c r="E184" s="201">
        <f>IF($C184,'Proyecto Datos (OKR´s)'!$E184,"")</f>
      </c>
      <c r="F184" s="202">
        <f>IF($C184,'Proyecto Datos (OKR´s)'!$G184,"")</f>
      </c>
      <c r="G184" s="202">
        <f>IF($C184,IF('Proyecto Datos (OKR´s)'!$I184="","(Sin asignar)",'Proyecto Datos (OKR´s)'!$I184),"")</f>
      </c>
      <c r="H184" s="201">
        <f>IF($C184,IF(ISNUMBER('Proyecto Datos (OKR´s)'!$F184),'Proyecto Datos (OKR´s)'!$F184,'Proyecto Datos (OKR´s)'!$L184),"")</f>
      </c>
      <c r="I184" s="201">
        <f>IF($C184,'Proyecto Datos (OKR´s)'!$J184,"")</f>
      </c>
      <c r="J184" s="202">
        <f>IF($C184,IF($I184&gt;=1,"Completado",IF($H184&lt;TODAY(),"Vencido",IF(($H184-TODAY())&lt;='Entregas Próximas'!$M$3,"Próximo a vencer","En curso"))),"")</f>
      </c>
      <c r="K184" s="201">
        <f>IF($C184,$H184-TODAY(),"")</f>
      </c>
      <c r="L184" s="201">
        <f>IF($C184,$AD184*1000000+$H184+ROW()/100000,"")</f>
      </c>
      <c r="M184" s="201">
        <f>IF($C184,IF($AD184=9999,"(Sin sprint)",$AD184),"")</f>
      </c>
      <c r="N184" s="201">
        <f>IF($C184,IF('Proyecto Datos (OKR´s)'!$E184="",9999,'Proyecto Datos (OKR´s)'!$E184),"")</f>
      </c>
      <c r="O184" s="201">
        <f>IF($C184,"T"&amp;TEXT(ROW(),"000"),"")</f>
      </c>
      <c r="R184" s="201">
        <f>IF($C184,IF(ISNUMBER('Proyecto Datos (OKR´s)'!$L184),'Proyecto Datos (OKR´s)'!$L184,$H184),"")</f>
      </c>
      <c r="S184" s="201">
        <f>IF($C184,$R184-'Proyecto Datos (OKR´s)'!$K184+1,"")</f>
      </c>
      <c r="T184" s="201">
        <f>IF($C184,MAX(0,TODAY()-'Proyecto Datos (OKR´s)'!$K184),"")</f>
      </c>
      <c r="U184" s="201">
        <f>IF($C184,MEDIAN(0,(TODAY()-'Proyecto Datos (OKR´s)'!$K184)/MAX(1,$R184-'Proyecto Datos (OKR´s)'!$K184),1),"")</f>
      </c>
      <c r="V184" s="201">
        <f>IF($C184,$I184-$U184,"")</f>
      </c>
      <c r="W184" s="201">
        <f>IF($C184,IF($J184="Completado",0,MAX(0,TODAY()-$H184)),"")</f>
      </c>
      <c r="X184" s="201">
        <f>IF($C184,IF(ISNUMBER($H184),$R184-$H184,0),"")</f>
      </c>
      <c r="Y184" s="201">
        <f>IF($C184,COUNTIFS($G$7:$G$200,$G184,$J$7:$J$200,"&lt;&gt;Completado",$J$7:$J$200,"&lt;&gt;"),"")</f>
      </c>
      <c r="Z184" s="201">
        <f>IF($C184,AND($I184=0,'Proyecto Datos (OKR´s)'!$K184&lt;=TODAY(),$J184&lt;&gt;"Completado"),"")</f>
      </c>
      <c r="AA184" s="201">
        <f>IF($C184,ROUND(100*(0.35*$AK184+0.3*$AL184+0.2*$AM184+0.15*MEDIAN(0,($Y184-4)/8,1)),0),"")</f>
      </c>
      <c r="AB184" s="202">
        <f>IF($C184,IF($J184="Completado","—",IF($AA184&gt;=70,"Crítica",IF($AA184&gt;=45,"Alta",IF($AA184&gt;=25,"Media","Baja")))),"")</f>
      </c>
      <c r="AC184" s="202">
        <f>IF($C184,IF(LEN(TRIM($AN184))=0,"—",TRIM($AN184)),"")</f>
      </c>
      <c r="AD184" s="201">
        <f>IF($C184,IF($N184=9999,9999,IF($J184="Completado",$N184,MAX($N184,'Historial de Sprints'!$C$7))),"")</f>
      </c>
      <c r="AE184" s="201">
        <f>IF($C184,IF($AD184=9999,"(Sin sprint)",$AD184),"")</f>
      </c>
      <c r="AF184" s="201">
        <f>IF($C184,AND($N184&lt;&gt;9999,$AD184&lt;&gt;$N184),FALSE)</f>
      </c>
      <c r="AG184" s="201">
        <f>IF($AF184,'Historial de Sprints'!$C$5+$N184*'Historial de Sprints'!$C$6-1,"")</f>
      </c>
      <c r="AH184" s="202">
        <f>IF($AF184,"No completada al cierre del Sprint "&amp;$N184&amp;" -&gt; reasignada al Sprint "&amp;$AD184,"")</f>
      </c>
      <c r="AI184" s="201">
        <f>IF($AF184,$N184*100000+ROW(),"")</f>
      </c>
      <c r="AJ184" s="201">
        <f>IF($C184,$AA184*1000000-MEDIAN(-9999,$K184,9999)*100+(300-ROW()),"")</f>
      </c>
      <c r="AK184" s="201">
        <f>IF($C184,IF($J184="Completado",0,IF($K184&lt;0,1,IF($K184&lt;=3,0.9,IF($K184&lt;=7,0.7,IF($K184&lt;=14,0.45,0.2))))),"")</f>
      </c>
      <c r="AL184" s="201">
        <f>IF($C184,IF($J184="Completado",0,MEDIAN(0,MAX(-$V184,$W184/30),1)),"")</f>
      </c>
      <c r="AM184" s="201">
        <f>IF($C184,IF($J184="Completado",0,IF($Z184,1,IF(AND($I184&lt;0.5,$K184&lt;=7),0.7,0.3))),"")</f>
      </c>
      <c r="AN184" s="202">
        <f>IF($C184,IF(OR($V184&lt;-0.2,$W184&gt;0),"ATRASO ","")&amp;IF($Z184,"BLOQUEO ","")&amp;IF($Y184&gt;8,"SOBRECARGA ","")&amp;IF($X184&gt;0,"DESVÍO-PLAN ",""),"")</f>
      </c>
    </row>
    <row r="185">
      <c r="A185" s="201">
        <f>ROW()</f>
      </c>
      <c r="B185" s="201">
        <f>ISTEXT('Proyecto Datos (OKR´s)'!$K185)</f>
      </c>
      <c r="C185" s="201">
        <f>AND(LEN('Proyecto Datos (OKR´s)'!$G185)&gt;0,NOT($B185),OR(ISNUMBER('Proyecto Datos (OKR´s)'!$F185),ISNUMBER('Proyecto Datos (OKR´s)'!$L185)))</f>
      </c>
      <c r="D185" s="202">
        <f>IF($C185,IFERROR(LOOKUP(2,1/((ISTEXT('Proyecto Datos (OKR´s)'!$K$7:$K185))*(LEN('Proyecto Datos (OKR´s)'!$G$7:$G185)&gt;0)),'Proyecto Datos (OKR´s)'!$G$7:$G185),""),"")</f>
      </c>
      <c r="E185" s="201">
        <f>IF($C185,'Proyecto Datos (OKR´s)'!$E185,"")</f>
      </c>
      <c r="F185" s="202">
        <f>IF($C185,'Proyecto Datos (OKR´s)'!$G185,"")</f>
      </c>
      <c r="G185" s="202">
        <f>IF($C185,IF('Proyecto Datos (OKR´s)'!$I185="","(Sin asignar)",'Proyecto Datos (OKR´s)'!$I185),"")</f>
      </c>
      <c r="H185" s="201">
        <f>IF($C185,IF(ISNUMBER('Proyecto Datos (OKR´s)'!$F185),'Proyecto Datos (OKR´s)'!$F185,'Proyecto Datos (OKR´s)'!$L185),"")</f>
      </c>
      <c r="I185" s="201">
        <f>IF($C185,'Proyecto Datos (OKR´s)'!$J185,"")</f>
      </c>
      <c r="J185" s="202">
        <f>IF($C185,IF($I185&gt;=1,"Completado",IF($H185&lt;TODAY(),"Vencido",IF(($H185-TODAY())&lt;='Entregas Próximas'!$M$3,"Próximo a vencer","En curso"))),"")</f>
      </c>
      <c r="K185" s="201">
        <f>IF($C185,$H185-TODAY(),"")</f>
      </c>
      <c r="L185" s="201">
        <f>IF($C185,$AD185*1000000+$H185+ROW()/100000,"")</f>
      </c>
      <c r="M185" s="201">
        <f>IF($C185,IF($AD185=9999,"(Sin sprint)",$AD185),"")</f>
      </c>
      <c r="N185" s="201">
        <f>IF($C185,IF('Proyecto Datos (OKR´s)'!$E185="",9999,'Proyecto Datos (OKR´s)'!$E185),"")</f>
      </c>
      <c r="O185" s="201">
        <f>IF($C185,"T"&amp;TEXT(ROW(),"000"),"")</f>
      </c>
      <c r="R185" s="201">
        <f>IF($C185,IF(ISNUMBER('Proyecto Datos (OKR´s)'!$L185),'Proyecto Datos (OKR´s)'!$L185,$H185),"")</f>
      </c>
      <c r="S185" s="201">
        <f>IF($C185,$R185-'Proyecto Datos (OKR´s)'!$K185+1,"")</f>
      </c>
      <c r="T185" s="201">
        <f>IF($C185,MAX(0,TODAY()-'Proyecto Datos (OKR´s)'!$K185),"")</f>
      </c>
      <c r="U185" s="201">
        <f>IF($C185,MEDIAN(0,(TODAY()-'Proyecto Datos (OKR´s)'!$K185)/MAX(1,$R185-'Proyecto Datos (OKR´s)'!$K185),1),"")</f>
      </c>
      <c r="V185" s="201">
        <f>IF($C185,$I185-$U185,"")</f>
      </c>
      <c r="W185" s="201">
        <f>IF($C185,IF($J185="Completado",0,MAX(0,TODAY()-$H185)),"")</f>
      </c>
      <c r="X185" s="201">
        <f>IF($C185,IF(ISNUMBER($H185),$R185-$H185,0),"")</f>
      </c>
      <c r="Y185" s="201">
        <f>IF($C185,COUNTIFS($G$7:$G$200,$G185,$J$7:$J$200,"&lt;&gt;Completado",$J$7:$J$200,"&lt;&gt;"),"")</f>
      </c>
      <c r="Z185" s="201">
        <f>IF($C185,AND($I185=0,'Proyecto Datos (OKR´s)'!$K185&lt;=TODAY(),$J185&lt;&gt;"Completado"),"")</f>
      </c>
      <c r="AA185" s="201">
        <f>IF($C185,ROUND(100*(0.35*$AK185+0.3*$AL185+0.2*$AM185+0.15*MEDIAN(0,($Y185-4)/8,1)),0),"")</f>
      </c>
      <c r="AB185" s="202">
        <f>IF($C185,IF($J185="Completado","—",IF($AA185&gt;=70,"Crítica",IF($AA185&gt;=45,"Alta",IF($AA185&gt;=25,"Media","Baja")))),"")</f>
      </c>
      <c r="AC185" s="202">
        <f>IF($C185,IF(LEN(TRIM($AN185))=0,"—",TRIM($AN185)),"")</f>
      </c>
      <c r="AD185" s="201">
        <f>IF($C185,IF($N185=9999,9999,IF($J185="Completado",$N185,MAX($N185,'Historial de Sprints'!$C$7))),"")</f>
      </c>
      <c r="AE185" s="201">
        <f>IF($C185,IF($AD185=9999,"(Sin sprint)",$AD185),"")</f>
      </c>
      <c r="AF185" s="201">
        <f>IF($C185,AND($N185&lt;&gt;9999,$AD185&lt;&gt;$N185),FALSE)</f>
      </c>
      <c r="AG185" s="201">
        <f>IF($AF185,'Historial de Sprints'!$C$5+$N185*'Historial de Sprints'!$C$6-1,"")</f>
      </c>
      <c r="AH185" s="202">
        <f>IF($AF185,"No completada al cierre del Sprint "&amp;$N185&amp;" -&gt; reasignada al Sprint "&amp;$AD185,"")</f>
      </c>
      <c r="AI185" s="201">
        <f>IF($AF185,$N185*100000+ROW(),"")</f>
      </c>
      <c r="AJ185" s="201">
        <f>IF($C185,$AA185*1000000-MEDIAN(-9999,$K185,9999)*100+(300-ROW()),"")</f>
      </c>
      <c r="AK185" s="201">
        <f>IF($C185,IF($J185="Completado",0,IF($K185&lt;0,1,IF($K185&lt;=3,0.9,IF($K185&lt;=7,0.7,IF($K185&lt;=14,0.45,0.2))))),"")</f>
      </c>
      <c r="AL185" s="201">
        <f>IF($C185,IF($J185="Completado",0,MEDIAN(0,MAX(-$V185,$W185/30),1)),"")</f>
      </c>
      <c r="AM185" s="201">
        <f>IF($C185,IF($J185="Completado",0,IF($Z185,1,IF(AND($I185&lt;0.5,$K185&lt;=7),0.7,0.3))),"")</f>
      </c>
      <c r="AN185" s="202">
        <f>IF($C185,IF(OR($V185&lt;-0.2,$W185&gt;0),"ATRASO ","")&amp;IF($Z185,"BLOQUEO ","")&amp;IF($Y185&gt;8,"SOBRECARGA ","")&amp;IF($X185&gt;0,"DESVÍO-PLAN ",""),"")</f>
      </c>
    </row>
    <row r="186">
      <c r="A186" s="201">
        <f>ROW()</f>
      </c>
      <c r="B186" s="201">
        <f>ISTEXT('Proyecto Datos (OKR´s)'!$K186)</f>
      </c>
      <c r="C186" s="201">
        <f>AND(LEN('Proyecto Datos (OKR´s)'!$G186)&gt;0,NOT($B186),OR(ISNUMBER('Proyecto Datos (OKR´s)'!$F186),ISNUMBER('Proyecto Datos (OKR´s)'!$L186)))</f>
      </c>
      <c r="D186" s="202">
        <f>IF($C186,IFERROR(LOOKUP(2,1/((ISTEXT('Proyecto Datos (OKR´s)'!$K$7:$K186))*(LEN('Proyecto Datos (OKR´s)'!$G$7:$G186)&gt;0)),'Proyecto Datos (OKR´s)'!$G$7:$G186),""),"")</f>
      </c>
      <c r="E186" s="201">
        <f>IF($C186,'Proyecto Datos (OKR´s)'!$E186,"")</f>
      </c>
      <c r="F186" s="202">
        <f>IF($C186,'Proyecto Datos (OKR´s)'!$G186,"")</f>
      </c>
      <c r="G186" s="202">
        <f>IF($C186,IF('Proyecto Datos (OKR´s)'!$I186="","(Sin asignar)",'Proyecto Datos (OKR´s)'!$I186),"")</f>
      </c>
      <c r="H186" s="201">
        <f>IF($C186,IF(ISNUMBER('Proyecto Datos (OKR´s)'!$F186),'Proyecto Datos (OKR´s)'!$F186,'Proyecto Datos (OKR´s)'!$L186),"")</f>
      </c>
      <c r="I186" s="201">
        <f>IF($C186,'Proyecto Datos (OKR´s)'!$J186,"")</f>
      </c>
      <c r="J186" s="202">
        <f>IF($C186,IF($I186&gt;=1,"Completado",IF($H186&lt;TODAY(),"Vencido",IF(($H186-TODAY())&lt;='Entregas Próximas'!$M$3,"Próximo a vencer","En curso"))),"")</f>
      </c>
      <c r="K186" s="201">
        <f>IF($C186,$H186-TODAY(),"")</f>
      </c>
      <c r="L186" s="201">
        <f>IF($C186,$AD186*1000000+$H186+ROW()/100000,"")</f>
      </c>
      <c r="M186" s="201">
        <f>IF($C186,IF($AD186=9999,"(Sin sprint)",$AD186),"")</f>
      </c>
      <c r="N186" s="201">
        <f>IF($C186,IF('Proyecto Datos (OKR´s)'!$E186="",9999,'Proyecto Datos (OKR´s)'!$E186),"")</f>
      </c>
      <c r="O186" s="201">
        <f>IF($C186,"T"&amp;TEXT(ROW(),"000"),"")</f>
      </c>
      <c r="R186" s="201">
        <f>IF($C186,IF(ISNUMBER('Proyecto Datos (OKR´s)'!$L186),'Proyecto Datos (OKR´s)'!$L186,$H186),"")</f>
      </c>
      <c r="S186" s="201">
        <f>IF($C186,$R186-'Proyecto Datos (OKR´s)'!$K186+1,"")</f>
      </c>
      <c r="T186" s="201">
        <f>IF($C186,MAX(0,TODAY()-'Proyecto Datos (OKR´s)'!$K186),"")</f>
      </c>
      <c r="U186" s="201">
        <f>IF($C186,MEDIAN(0,(TODAY()-'Proyecto Datos (OKR´s)'!$K186)/MAX(1,$R186-'Proyecto Datos (OKR´s)'!$K186),1),"")</f>
      </c>
      <c r="V186" s="201">
        <f>IF($C186,$I186-$U186,"")</f>
      </c>
      <c r="W186" s="201">
        <f>IF($C186,IF($J186="Completado",0,MAX(0,TODAY()-$H186)),"")</f>
      </c>
      <c r="X186" s="201">
        <f>IF($C186,IF(ISNUMBER($H186),$R186-$H186,0),"")</f>
      </c>
      <c r="Y186" s="201">
        <f>IF($C186,COUNTIFS($G$7:$G$200,$G186,$J$7:$J$200,"&lt;&gt;Completado",$J$7:$J$200,"&lt;&gt;"),"")</f>
      </c>
      <c r="Z186" s="201">
        <f>IF($C186,AND($I186=0,'Proyecto Datos (OKR´s)'!$K186&lt;=TODAY(),$J186&lt;&gt;"Completado"),"")</f>
      </c>
      <c r="AA186" s="201">
        <f>IF($C186,ROUND(100*(0.35*$AK186+0.3*$AL186+0.2*$AM186+0.15*MEDIAN(0,($Y186-4)/8,1)),0),"")</f>
      </c>
      <c r="AB186" s="202">
        <f>IF($C186,IF($J186="Completado","—",IF($AA186&gt;=70,"Crítica",IF($AA186&gt;=45,"Alta",IF($AA186&gt;=25,"Media","Baja")))),"")</f>
      </c>
      <c r="AC186" s="202">
        <f>IF($C186,IF(LEN(TRIM($AN186))=0,"—",TRIM($AN186)),"")</f>
      </c>
      <c r="AD186" s="201">
        <f>IF($C186,IF($N186=9999,9999,IF($J186="Completado",$N186,MAX($N186,'Historial de Sprints'!$C$7))),"")</f>
      </c>
      <c r="AE186" s="201">
        <f>IF($C186,IF($AD186=9999,"(Sin sprint)",$AD186),"")</f>
      </c>
      <c r="AF186" s="201">
        <f>IF($C186,AND($N186&lt;&gt;9999,$AD186&lt;&gt;$N186),FALSE)</f>
      </c>
      <c r="AG186" s="201">
        <f>IF($AF186,'Historial de Sprints'!$C$5+$N186*'Historial de Sprints'!$C$6-1,"")</f>
      </c>
      <c r="AH186" s="202">
        <f>IF($AF186,"No completada al cierre del Sprint "&amp;$N186&amp;" -&gt; reasignada al Sprint "&amp;$AD186,"")</f>
      </c>
      <c r="AI186" s="201">
        <f>IF($AF186,$N186*100000+ROW(),"")</f>
      </c>
      <c r="AJ186" s="201">
        <f>IF($C186,$AA186*1000000-MEDIAN(-9999,$K186,9999)*100+(300-ROW()),"")</f>
      </c>
      <c r="AK186" s="201">
        <f>IF($C186,IF($J186="Completado",0,IF($K186&lt;0,1,IF($K186&lt;=3,0.9,IF($K186&lt;=7,0.7,IF($K186&lt;=14,0.45,0.2))))),"")</f>
      </c>
      <c r="AL186" s="201">
        <f>IF($C186,IF($J186="Completado",0,MEDIAN(0,MAX(-$V186,$W186/30),1)),"")</f>
      </c>
      <c r="AM186" s="201">
        <f>IF($C186,IF($J186="Completado",0,IF($Z186,1,IF(AND($I186&lt;0.5,$K186&lt;=7),0.7,0.3))),"")</f>
      </c>
      <c r="AN186" s="202">
        <f>IF($C186,IF(OR($V186&lt;-0.2,$W186&gt;0),"ATRASO ","")&amp;IF($Z186,"BLOQUEO ","")&amp;IF($Y186&gt;8,"SOBRECARGA ","")&amp;IF($X186&gt;0,"DESVÍO-PLAN ",""),"")</f>
      </c>
    </row>
    <row r="187">
      <c r="A187" s="201">
        <f>ROW()</f>
      </c>
      <c r="B187" s="201">
        <f>ISTEXT('Proyecto Datos (OKR´s)'!$K187)</f>
      </c>
      <c r="C187" s="201">
        <f>AND(LEN('Proyecto Datos (OKR´s)'!$G187)&gt;0,NOT($B187),OR(ISNUMBER('Proyecto Datos (OKR´s)'!$F187),ISNUMBER('Proyecto Datos (OKR´s)'!$L187)))</f>
      </c>
      <c r="D187" s="202">
        <f>IF($C187,IFERROR(LOOKUP(2,1/((ISTEXT('Proyecto Datos (OKR´s)'!$K$7:$K187))*(LEN('Proyecto Datos (OKR´s)'!$G$7:$G187)&gt;0)),'Proyecto Datos (OKR´s)'!$G$7:$G187),""),"")</f>
      </c>
      <c r="E187" s="201">
        <f>IF($C187,'Proyecto Datos (OKR´s)'!$E187,"")</f>
      </c>
      <c r="F187" s="202">
        <f>IF($C187,'Proyecto Datos (OKR´s)'!$G187,"")</f>
      </c>
      <c r="G187" s="202">
        <f>IF($C187,IF('Proyecto Datos (OKR´s)'!$I187="","(Sin asignar)",'Proyecto Datos (OKR´s)'!$I187),"")</f>
      </c>
      <c r="H187" s="201">
        <f>IF($C187,IF(ISNUMBER('Proyecto Datos (OKR´s)'!$F187),'Proyecto Datos (OKR´s)'!$F187,'Proyecto Datos (OKR´s)'!$L187),"")</f>
      </c>
      <c r="I187" s="201">
        <f>IF($C187,'Proyecto Datos (OKR´s)'!$J187,"")</f>
      </c>
      <c r="J187" s="202">
        <f>IF($C187,IF($I187&gt;=1,"Completado",IF($H187&lt;TODAY(),"Vencido",IF(($H187-TODAY())&lt;='Entregas Próximas'!$M$3,"Próximo a vencer","En curso"))),"")</f>
      </c>
      <c r="K187" s="201">
        <f>IF($C187,$H187-TODAY(),"")</f>
      </c>
      <c r="L187" s="201">
        <f>IF($C187,$AD187*1000000+$H187+ROW()/100000,"")</f>
      </c>
      <c r="M187" s="201">
        <f>IF($C187,IF($AD187=9999,"(Sin sprint)",$AD187),"")</f>
      </c>
      <c r="N187" s="201">
        <f>IF($C187,IF('Proyecto Datos (OKR´s)'!$E187="",9999,'Proyecto Datos (OKR´s)'!$E187),"")</f>
      </c>
      <c r="O187" s="201">
        <f>IF($C187,"T"&amp;TEXT(ROW(),"000"),"")</f>
      </c>
      <c r="R187" s="201">
        <f>IF($C187,IF(ISNUMBER('Proyecto Datos (OKR´s)'!$L187),'Proyecto Datos (OKR´s)'!$L187,$H187),"")</f>
      </c>
      <c r="S187" s="201">
        <f>IF($C187,$R187-'Proyecto Datos (OKR´s)'!$K187+1,"")</f>
      </c>
      <c r="T187" s="201">
        <f>IF($C187,MAX(0,TODAY()-'Proyecto Datos (OKR´s)'!$K187),"")</f>
      </c>
      <c r="U187" s="201">
        <f>IF($C187,MEDIAN(0,(TODAY()-'Proyecto Datos (OKR´s)'!$K187)/MAX(1,$R187-'Proyecto Datos (OKR´s)'!$K187),1),"")</f>
      </c>
      <c r="V187" s="201">
        <f>IF($C187,$I187-$U187,"")</f>
      </c>
      <c r="W187" s="201">
        <f>IF($C187,IF($J187="Completado",0,MAX(0,TODAY()-$H187)),"")</f>
      </c>
      <c r="X187" s="201">
        <f>IF($C187,IF(ISNUMBER($H187),$R187-$H187,0),"")</f>
      </c>
      <c r="Y187" s="201">
        <f>IF($C187,COUNTIFS($G$7:$G$200,$G187,$J$7:$J$200,"&lt;&gt;Completado",$J$7:$J$200,"&lt;&gt;"),"")</f>
      </c>
      <c r="Z187" s="201">
        <f>IF($C187,AND($I187=0,'Proyecto Datos (OKR´s)'!$K187&lt;=TODAY(),$J187&lt;&gt;"Completado"),"")</f>
      </c>
      <c r="AA187" s="201">
        <f>IF($C187,ROUND(100*(0.35*$AK187+0.3*$AL187+0.2*$AM187+0.15*MEDIAN(0,($Y187-4)/8,1)),0),"")</f>
      </c>
      <c r="AB187" s="202">
        <f>IF($C187,IF($J187="Completado","—",IF($AA187&gt;=70,"Crítica",IF($AA187&gt;=45,"Alta",IF($AA187&gt;=25,"Media","Baja")))),"")</f>
      </c>
      <c r="AC187" s="202">
        <f>IF($C187,IF(LEN(TRIM($AN187))=0,"—",TRIM($AN187)),"")</f>
      </c>
      <c r="AD187" s="201">
        <f>IF($C187,IF($N187=9999,9999,IF($J187="Completado",$N187,MAX($N187,'Historial de Sprints'!$C$7))),"")</f>
      </c>
      <c r="AE187" s="201">
        <f>IF($C187,IF($AD187=9999,"(Sin sprint)",$AD187),"")</f>
      </c>
      <c r="AF187" s="201">
        <f>IF($C187,AND($N187&lt;&gt;9999,$AD187&lt;&gt;$N187),FALSE)</f>
      </c>
      <c r="AG187" s="201">
        <f>IF($AF187,'Historial de Sprints'!$C$5+$N187*'Historial de Sprints'!$C$6-1,"")</f>
      </c>
      <c r="AH187" s="202">
        <f>IF($AF187,"No completada al cierre del Sprint "&amp;$N187&amp;" -&gt; reasignada al Sprint "&amp;$AD187,"")</f>
      </c>
      <c r="AI187" s="201">
        <f>IF($AF187,$N187*100000+ROW(),"")</f>
      </c>
      <c r="AJ187" s="201">
        <f>IF($C187,$AA187*1000000-MEDIAN(-9999,$K187,9999)*100+(300-ROW()),"")</f>
      </c>
      <c r="AK187" s="201">
        <f>IF($C187,IF($J187="Completado",0,IF($K187&lt;0,1,IF($K187&lt;=3,0.9,IF($K187&lt;=7,0.7,IF($K187&lt;=14,0.45,0.2))))),"")</f>
      </c>
      <c r="AL187" s="201">
        <f>IF($C187,IF($J187="Completado",0,MEDIAN(0,MAX(-$V187,$W187/30),1)),"")</f>
      </c>
      <c r="AM187" s="201">
        <f>IF($C187,IF($J187="Completado",0,IF($Z187,1,IF(AND($I187&lt;0.5,$K187&lt;=7),0.7,0.3))),"")</f>
      </c>
      <c r="AN187" s="202">
        <f>IF($C187,IF(OR($V187&lt;-0.2,$W187&gt;0),"ATRASO ","")&amp;IF($Z187,"BLOQUEO ","")&amp;IF($Y187&gt;8,"SOBRECARGA ","")&amp;IF($X187&gt;0,"DESVÍO-PLAN ",""),"")</f>
      </c>
    </row>
    <row r="188">
      <c r="A188" s="201">
        <f>ROW()</f>
      </c>
      <c r="B188" s="201">
        <f>ISTEXT('Proyecto Datos (OKR´s)'!$K188)</f>
      </c>
      <c r="C188" s="201">
        <f>AND(LEN('Proyecto Datos (OKR´s)'!$G188)&gt;0,NOT($B188),OR(ISNUMBER('Proyecto Datos (OKR´s)'!$F188),ISNUMBER('Proyecto Datos (OKR´s)'!$L188)))</f>
      </c>
      <c r="D188" s="202">
        <f>IF($C188,IFERROR(LOOKUP(2,1/((ISTEXT('Proyecto Datos (OKR´s)'!$K$7:$K188))*(LEN('Proyecto Datos (OKR´s)'!$G$7:$G188)&gt;0)),'Proyecto Datos (OKR´s)'!$G$7:$G188),""),"")</f>
      </c>
      <c r="E188" s="201">
        <f>IF($C188,'Proyecto Datos (OKR´s)'!$E188,"")</f>
      </c>
      <c r="F188" s="202">
        <f>IF($C188,'Proyecto Datos (OKR´s)'!$G188,"")</f>
      </c>
      <c r="G188" s="202">
        <f>IF($C188,IF('Proyecto Datos (OKR´s)'!$I188="","(Sin asignar)",'Proyecto Datos (OKR´s)'!$I188),"")</f>
      </c>
      <c r="H188" s="201">
        <f>IF($C188,IF(ISNUMBER('Proyecto Datos (OKR´s)'!$F188),'Proyecto Datos (OKR´s)'!$F188,'Proyecto Datos (OKR´s)'!$L188),"")</f>
      </c>
      <c r="I188" s="201">
        <f>IF($C188,'Proyecto Datos (OKR´s)'!$J188,"")</f>
      </c>
      <c r="J188" s="202">
        <f>IF($C188,IF($I188&gt;=1,"Completado",IF($H188&lt;TODAY(),"Vencido",IF(($H188-TODAY())&lt;='Entregas Próximas'!$M$3,"Próximo a vencer","En curso"))),"")</f>
      </c>
      <c r="K188" s="201">
        <f>IF($C188,$H188-TODAY(),"")</f>
      </c>
      <c r="L188" s="201">
        <f>IF($C188,$AD188*1000000+$H188+ROW()/100000,"")</f>
      </c>
      <c r="M188" s="201">
        <f>IF($C188,IF($AD188=9999,"(Sin sprint)",$AD188),"")</f>
      </c>
      <c r="N188" s="201">
        <f>IF($C188,IF('Proyecto Datos (OKR´s)'!$E188="",9999,'Proyecto Datos (OKR´s)'!$E188),"")</f>
      </c>
      <c r="O188" s="201">
        <f>IF($C188,"T"&amp;TEXT(ROW(),"000"),"")</f>
      </c>
      <c r="R188" s="201">
        <f>IF($C188,IF(ISNUMBER('Proyecto Datos (OKR´s)'!$L188),'Proyecto Datos (OKR´s)'!$L188,$H188),"")</f>
      </c>
      <c r="S188" s="201">
        <f>IF($C188,$R188-'Proyecto Datos (OKR´s)'!$K188+1,"")</f>
      </c>
      <c r="T188" s="201">
        <f>IF($C188,MAX(0,TODAY()-'Proyecto Datos (OKR´s)'!$K188),"")</f>
      </c>
      <c r="U188" s="201">
        <f>IF($C188,MEDIAN(0,(TODAY()-'Proyecto Datos (OKR´s)'!$K188)/MAX(1,$R188-'Proyecto Datos (OKR´s)'!$K188),1),"")</f>
      </c>
      <c r="V188" s="201">
        <f>IF($C188,$I188-$U188,"")</f>
      </c>
      <c r="W188" s="201">
        <f>IF($C188,IF($J188="Completado",0,MAX(0,TODAY()-$H188)),"")</f>
      </c>
      <c r="X188" s="201">
        <f>IF($C188,IF(ISNUMBER($H188),$R188-$H188,0),"")</f>
      </c>
      <c r="Y188" s="201">
        <f>IF($C188,COUNTIFS($G$7:$G$200,$G188,$J$7:$J$200,"&lt;&gt;Completado",$J$7:$J$200,"&lt;&gt;"),"")</f>
      </c>
      <c r="Z188" s="201">
        <f>IF($C188,AND($I188=0,'Proyecto Datos (OKR´s)'!$K188&lt;=TODAY(),$J188&lt;&gt;"Completado"),"")</f>
      </c>
      <c r="AA188" s="201">
        <f>IF($C188,ROUND(100*(0.35*$AK188+0.3*$AL188+0.2*$AM188+0.15*MEDIAN(0,($Y188-4)/8,1)),0),"")</f>
      </c>
      <c r="AB188" s="202">
        <f>IF($C188,IF($J188="Completado","—",IF($AA188&gt;=70,"Crítica",IF($AA188&gt;=45,"Alta",IF($AA188&gt;=25,"Media","Baja")))),"")</f>
      </c>
      <c r="AC188" s="202">
        <f>IF($C188,IF(LEN(TRIM($AN188))=0,"—",TRIM($AN188)),"")</f>
      </c>
      <c r="AD188" s="201">
        <f>IF($C188,IF($N188=9999,9999,IF($J188="Completado",$N188,MAX($N188,'Historial de Sprints'!$C$7))),"")</f>
      </c>
      <c r="AE188" s="201">
        <f>IF($C188,IF($AD188=9999,"(Sin sprint)",$AD188),"")</f>
      </c>
      <c r="AF188" s="201">
        <f>IF($C188,AND($N188&lt;&gt;9999,$AD188&lt;&gt;$N188),FALSE)</f>
      </c>
      <c r="AG188" s="201">
        <f>IF($AF188,'Historial de Sprints'!$C$5+$N188*'Historial de Sprints'!$C$6-1,"")</f>
      </c>
      <c r="AH188" s="202">
        <f>IF($AF188,"No completada al cierre del Sprint "&amp;$N188&amp;" -&gt; reasignada al Sprint "&amp;$AD188,"")</f>
      </c>
      <c r="AI188" s="201">
        <f>IF($AF188,$N188*100000+ROW(),"")</f>
      </c>
      <c r="AJ188" s="201">
        <f>IF($C188,$AA188*1000000-MEDIAN(-9999,$K188,9999)*100+(300-ROW()),"")</f>
      </c>
      <c r="AK188" s="201">
        <f>IF($C188,IF($J188="Completado",0,IF($K188&lt;0,1,IF($K188&lt;=3,0.9,IF($K188&lt;=7,0.7,IF($K188&lt;=14,0.45,0.2))))),"")</f>
      </c>
      <c r="AL188" s="201">
        <f>IF($C188,IF($J188="Completado",0,MEDIAN(0,MAX(-$V188,$W188/30),1)),"")</f>
      </c>
      <c r="AM188" s="201">
        <f>IF($C188,IF($J188="Completado",0,IF($Z188,1,IF(AND($I188&lt;0.5,$K188&lt;=7),0.7,0.3))),"")</f>
      </c>
      <c r="AN188" s="202">
        <f>IF($C188,IF(OR($V188&lt;-0.2,$W188&gt;0),"ATRASO ","")&amp;IF($Z188,"BLOQUEO ","")&amp;IF($Y188&gt;8,"SOBRECARGA ","")&amp;IF($X188&gt;0,"DESVÍO-PLAN ",""),"")</f>
      </c>
    </row>
    <row r="189">
      <c r="A189" s="201">
        <f>ROW()</f>
      </c>
      <c r="B189" s="201">
        <f>ISTEXT('Proyecto Datos (OKR´s)'!$K189)</f>
      </c>
      <c r="C189" s="201">
        <f>AND(LEN('Proyecto Datos (OKR´s)'!$G189)&gt;0,NOT($B189),OR(ISNUMBER('Proyecto Datos (OKR´s)'!$F189),ISNUMBER('Proyecto Datos (OKR´s)'!$L189)))</f>
      </c>
      <c r="D189" s="202">
        <f>IF($C189,IFERROR(LOOKUP(2,1/((ISTEXT('Proyecto Datos (OKR´s)'!$K$7:$K189))*(LEN('Proyecto Datos (OKR´s)'!$G$7:$G189)&gt;0)),'Proyecto Datos (OKR´s)'!$G$7:$G189),""),"")</f>
      </c>
      <c r="E189" s="201">
        <f>IF($C189,'Proyecto Datos (OKR´s)'!$E189,"")</f>
      </c>
      <c r="F189" s="202">
        <f>IF($C189,'Proyecto Datos (OKR´s)'!$G189,"")</f>
      </c>
      <c r="G189" s="202">
        <f>IF($C189,IF('Proyecto Datos (OKR´s)'!$I189="","(Sin asignar)",'Proyecto Datos (OKR´s)'!$I189),"")</f>
      </c>
      <c r="H189" s="201">
        <f>IF($C189,IF(ISNUMBER('Proyecto Datos (OKR´s)'!$F189),'Proyecto Datos (OKR´s)'!$F189,'Proyecto Datos (OKR´s)'!$L189),"")</f>
      </c>
      <c r="I189" s="201">
        <f>IF($C189,'Proyecto Datos (OKR´s)'!$J189,"")</f>
      </c>
      <c r="J189" s="202">
        <f>IF($C189,IF($I189&gt;=1,"Completado",IF($H189&lt;TODAY(),"Vencido",IF(($H189-TODAY())&lt;='Entregas Próximas'!$M$3,"Próximo a vencer","En curso"))),"")</f>
      </c>
      <c r="K189" s="201">
        <f>IF($C189,$H189-TODAY(),"")</f>
      </c>
      <c r="L189" s="201">
        <f>IF($C189,$AD189*1000000+$H189+ROW()/100000,"")</f>
      </c>
      <c r="M189" s="201">
        <f>IF($C189,IF($AD189=9999,"(Sin sprint)",$AD189),"")</f>
      </c>
      <c r="N189" s="201">
        <f>IF($C189,IF('Proyecto Datos (OKR´s)'!$E189="",9999,'Proyecto Datos (OKR´s)'!$E189),"")</f>
      </c>
      <c r="O189" s="201">
        <f>IF($C189,"T"&amp;TEXT(ROW(),"000"),"")</f>
      </c>
      <c r="R189" s="201">
        <f>IF($C189,IF(ISNUMBER('Proyecto Datos (OKR´s)'!$L189),'Proyecto Datos (OKR´s)'!$L189,$H189),"")</f>
      </c>
      <c r="S189" s="201">
        <f>IF($C189,$R189-'Proyecto Datos (OKR´s)'!$K189+1,"")</f>
      </c>
      <c r="T189" s="201">
        <f>IF($C189,MAX(0,TODAY()-'Proyecto Datos (OKR´s)'!$K189),"")</f>
      </c>
      <c r="U189" s="201">
        <f>IF($C189,MEDIAN(0,(TODAY()-'Proyecto Datos (OKR´s)'!$K189)/MAX(1,$R189-'Proyecto Datos (OKR´s)'!$K189),1),"")</f>
      </c>
      <c r="V189" s="201">
        <f>IF($C189,$I189-$U189,"")</f>
      </c>
      <c r="W189" s="201">
        <f>IF($C189,IF($J189="Completado",0,MAX(0,TODAY()-$H189)),"")</f>
      </c>
      <c r="X189" s="201">
        <f>IF($C189,IF(ISNUMBER($H189),$R189-$H189,0),"")</f>
      </c>
      <c r="Y189" s="201">
        <f>IF($C189,COUNTIFS($G$7:$G$200,$G189,$J$7:$J$200,"&lt;&gt;Completado",$J$7:$J$200,"&lt;&gt;"),"")</f>
      </c>
      <c r="Z189" s="201">
        <f>IF($C189,AND($I189=0,'Proyecto Datos (OKR´s)'!$K189&lt;=TODAY(),$J189&lt;&gt;"Completado"),"")</f>
      </c>
      <c r="AA189" s="201">
        <f>IF($C189,ROUND(100*(0.35*$AK189+0.3*$AL189+0.2*$AM189+0.15*MEDIAN(0,($Y189-4)/8,1)),0),"")</f>
      </c>
      <c r="AB189" s="202">
        <f>IF($C189,IF($J189="Completado","—",IF($AA189&gt;=70,"Crítica",IF($AA189&gt;=45,"Alta",IF($AA189&gt;=25,"Media","Baja")))),"")</f>
      </c>
      <c r="AC189" s="202">
        <f>IF($C189,IF(LEN(TRIM($AN189))=0,"—",TRIM($AN189)),"")</f>
      </c>
      <c r="AD189" s="201">
        <f>IF($C189,IF($N189=9999,9999,IF($J189="Completado",$N189,MAX($N189,'Historial de Sprints'!$C$7))),"")</f>
      </c>
      <c r="AE189" s="201">
        <f>IF($C189,IF($AD189=9999,"(Sin sprint)",$AD189),"")</f>
      </c>
      <c r="AF189" s="201">
        <f>IF($C189,AND($N189&lt;&gt;9999,$AD189&lt;&gt;$N189),FALSE)</f>
      </c>
      <c r="AG189" s="201">
        <f>IF($AF189,'Historial de Sprints'!$C$5+$N189*'Historial de Sprints'!$C$6-1,"")</f>
      </c>
      <c r="AH189" s="202">
        <f>IF($AF189,"No completada al cierre del Sprint "&amp;$N189&amp;" -&gt; reasignada al Sprint "&amp;$AD189,"")</f>
      </c>
      <c r="AI189" s="201">
        <f>IF($AF189,$N189*100000+ROW(),"")</f>
      </c>
      <c r="AJ189" s="201">
        <f>IF($C189,$AA189*1000000-MEDIAN(-9999,$K189,9999)*100+(300-ROW()),"")</f>
      </c>
      <c r="AK189" s="201">
        <f>IF($C189,IF($J189="Completado",0,IF($K189&lt;0,1,IF($K189&lt;=3,0.9,IF($K189&lt;=7,0.7,IF($K189&lt;=14,0.45,0.2))))),"")</f>
      </c>
      <c r="AL189" s="201">
        <f>IF($C189,IF($J189="Completado",0,MEDIAN(0,MAX(-$V189,$W189/30),1)),"")</f>
      </c>
      <c r="AM189" s="201">
        <f>IF($C189,IF($J189="Completado",0,IF($Z189,1,IF(AND($I189&lt;0.5,$K189&lt;=7),0.7,0.3))),"")</f>
      </c>
      <c r="AN189" s="202">
        <f>IF($C189,IF(OR($V189&lt;-0.2,$W189&gt;0),"ATRASO ","")&amp;IF($Z189,"BLOQUEO ","")&amp;IF($Y189&gt;8,"SOBRECARGA ","")&amp;IF($X189&gt;0,"DESVÍO-PLAN ",""),"")</f>
      </c>
    </row>
    <row r="190">
      <c r="A190" s="201">
        <f>ROW()</f>
      </c>
      <c r="B190" s="201">
        <f>ISTEXT('Proyecto Datos (OKR´s)'!$K190)</f>
      </c>
      <c r="C190" s="201">
        <f>AND(LEN('Proyecto Datos (OKR´s)'!$G190)&gt;0,NOT($B190),OR(ISNUMBER('Proyecto Datos (OKR´s)'!$F190),ISNUMBER('Proyecto Datos (OKR´s)'!$L190)))</f>
      </c>
      <c r="D190" s="202">
        <f>IF($C190,IFERROR(LOOKUP(2,1/((ISTEXT('Proyecto Datos (OKR´s)'!$K$7:$K190))*(LEN('Proyecto Datos (OKR´s)'!$G$7:$G190)&gt;0)),'Proyecto Datos (OKR´s)'!$G$7:$G190),""),"")</f>
      </c>
      <c r="E190" s="201">
        <f>IF($C190,'Proyecto Datos (OKR´s)'!$E190,"")</f>
      </c>
      <c r="F190" s="202">
        <f>IF($C190,'Proyecto Datos (OKR´s)'!$G190,"")</f>
      </c>
      <c r="G190" s="202">
        <f>IF($C190,IF('Proyecto Datos (OKR´s)'!$I190="","(Sin asignar)",'Proyecto Datos (OKR´s)'!$I190),"")</f>
      </c>
      <c r="H190" s="201">
        <f>IF($C190,IF(ISNUMBER('Proyecto Datos (OKR´s)'!$F190),'Proyecto Datos (OKR´s)'!$F190,'Proyecto Datos (OKR´s)'!$L190),"")</f>
      </c>
      <c r="I190" s="201">
        <f>IF($C190,'Proyecto Datos (OKR´s)'!$J190,"")</f>
      </c>
      <c r="J190" s="202">
        <f>IF($C190,IF($I190&gt;=1,"Completado",IF($H190&lt;TODAY(),"Vencido",IF(($H190-TODAY())&lt;='Entregas Próximas'!$M$3,"Próximo a vencer","En curso"))),"")</f>
      </c>
      <c r="K190" s="201">
        <f>IF($C190,$H190-TODAY(),"")</f>
      </c>
      <c r="L190" s="201">
        <f>IF($C190,$AD190*1000000+$H190+ROW()/100000,"")</f>
      </c>
      <c r="M190" s="201">
        <f>IF($C190,IF($AD190=9999,"(Sin sprint)",$AD190),"")</f>
      </c>
      <c r="N190" s="201">
        <f>IF($C190,IF('Proyecto Datos (OKR´s)'!$E190="",9999,'Proyecto Datos (OKR´s)'!$E190),"")</f>
      </c>
      <c r="O190" s="201">
        <f>IF($C190,"T"&amp;TEXT(ROW(),"000"),"")</f>
      </c>
      <c r="R190" s="201">
        <f>IF($C190,IF(ISNUMBER('Proyecto Datos (OKR´s)'!$L190),'Proyecto Datos (OKR´s)'!$L190,$H190),"")</f>
      </c>
      <c r="S190" s="201">
        <f>IF($C190,$R190-'Proyecto Datos (OKR´s)'!$K190+1,"")</f>
      </c>
      <c r="T190" s="201">
        <f>IF($C190,MAX(0,TODAY()-'Proyecto Datos (OKR´s)'!$K190),"")</f>
      </c>
      <c r="U190" s="201">
        <f>IF($C190,MEDIAN(0,(TODAY()-'Proyecto Datos (OKR´s)'!$K190)/MAX(1,$R190-'Proyecto Datos (OKR´s)'!$K190),1),"")</f>
      </c>
      <c r="V190" s="201">
        <f>IF($C190,$I190-$U190,"")</f>
      </c>
      <c r="W190" s="201">
        <f>IF($C190,IF($J190="Completado",0,MAX(0,TODAY()-$H190)),"")</f>
      </c>
      <c r="X190" s="201">
        <f>IF($C190,IF(ISNUMBER($H190),$R190-$H190,0),"")</f>
      </c>
      <c r="Y190" s="201">
        <f>IF($C190,COUNTIFS($G$7:$G$200,$G190,$J$7:$J$200,"&lt;&gt;Completado",$J$7:$J$200,"&lt;&gt;"),"")</f>
      </c>
      <c r="Z190" s="201">
        <f>IF($C190,AND($I190=0,'Proyecto Datos (OKR´s)'!$K190&lt;=TODAY(),$J190&lt;&gt;"Completado"),"")</f>
      </c>
      <c r="AA190" s="201">
        <f>IF($C190,ROUND(100*(0.35*$AK190+0.3*$AL190+0.2*$AM190+0.15*MEDIAN(0,($Y190-4)/8,1)),0),"")</f>
      </c>
      <c r="AB190" s="202">
        <f>IF($C190,IF($J190="Completado","—",IF($AA190&gt;=70,"Crítica",IF($AA190&gt;=45,"Alta",IF($AA190&gt;=25,"Media","Baja")))),"")</f>
      </c>
      <c r="AC190" s="202">
        <f>IF($C190,IF(LEN(TRIM($AN190))=0,"—",TRIM($AN190)),"")</f>
      </c>
      <c r="AD190" s="201">
        <f>IF($C190,IF($N190=9999,9999,IF($J190="Completado",$N190,MAX($N190,'Historial de Sprints'!$C$7))),"")</f>
      </c>
      <c r="AE190" s="201">
        <f>IF($C190,IF($AD190=9999,"(Sin sprint)",$AD190),"")</f>
      </c>
      <c r="AF190" s="201">
        <f>IF($C190,AND($N190&lt;&gt;9999,$AD190&lt;&gt;$N190),FALSE)</f>
      </c>
      <c r="AG190" s="201">
        <f>IF($AF190,'Historial de Sprints'!$C$5+$N190*'Historial de Sprints'!$C$6-1,"")</f>
      </c>
      <c r="AH190" s="202">
        <f>IF($AF190,"No completada al cierre del Sprint "&amp;$N190&amp;" -&gt; reasignada al Sprint "&amp;$AD190,"")</f>
      </c>
      <c r="AI190" s="201">
        <f>IF($AF190,$N190*100000+ROW(),"")</f>
      </c>
      <c r="AJ190" s="201">
        <f>IF($C190,$AA190*1000000-MEDIAN(-9999,$K190,9999)*100+(300-ROW()),"")</f>
      </c>
      <c r="AK190" s="201">
        <f>IF($C190,IF($J190="Completado",0,IF($K190&lt;0,1,IF($K190&lt;=3,0.9,IF($K190&lt;=7,0.7,IF($K190&lt;=14,0.45,0.2))))),"")</f>
      </c>
      <c r="AL190" s="201">
        <f>IF($C190,IF($J190="Completado",0,MEDIAN(0,MAX(-$V190,$W190/30),1)),"")</f>
      </c>
      <c r="AM190" s="201">
        <f>IF($C190,IF($J190="Completado",0,IF($Z190,1,IF(AND($I190&lt;0.5,$K190&lt;=7),0.7,0.3))),"")</f>
      </c>
      <c r="AN190" s="202">
        <f>IF($C190,IF(OR($V190&lt;-0.2,$W190&gt;0),"ATRASO ","")&amp;IF($Z190,"BLOQUEO ","")&amp;IF($Y190&gt;8,"SOBRECARGA ","")&amp;IF($X190&gt;0,"DESVÍO-PLAN ",""),"")</f>
      </c>
    </row>
    <row r="191">
      <c r="A191" s="201">
        <f>ROW()</f>
      </c>
      <c r="B191" s="201">
        <f>ISTEXT('Proyecto Datos (OKR´s)'!$K191)</f>
      </c>
      <c r="C191" s="201">
        <f>AND(LEN('Proyecto Datos (OKR´s)'!$G191)&gt;0,NOT($B191),OR(ISNUMBER('Proyecto Datos (OKR´s)'!$F191),ISNUMBER('Proyecto Datos (OKR´s)'!$L191)))</f>
      </c>
      <c r="D191" s="202">
        <f>IF($C191,IFERROR(LOOKUP(2,1/((ISTEXT('Proyecto Datos (OKR´s)'!$K$7:$K191))*(LEN('Proyecto Datos (OKR´s)'!$G$7:$G191)&gt;0)),'Proyecto Datos (OKR´s)'!$G$7:$G191),""),"")</f>
      </c>
      <c r="E191" s="201">
        <f>IF($C191,'Proyecto Datos (OKR´s)'!$E191,"")</f>
      </c>
      <c r="F191" s="202">
        <f>IF($C191,'Proyecto Datos (OKR´s)'!$G191,"")</f>
      </c>
      <c r="G191" s="202">
        <f>IF($C191,IF('Proyecto Datos (OKR´s)'!$I191="","(Sin asignar)",'Proyecto Datos (OKR´s)'!$I191),"")</f>
      </c>
      <c r="H191" s="201">
        <f>IF($C191,IF(ISNUMBER('Proyecto Datos (OKR´s)'!$F191),'Proyecto Datos (OKR´s)'!$F191,'Proyecto Datos (OKR´s)'!$L191),"")</f>
      </c>
      <c r="I191" s="201">
        <f>IF($C191,'Proyecto Datos (OKR´s)'!$J191,"")</f>
      </c>
      <c r="J191" s="202">
        <f>IF($C191,IF($I191&gt;=1,"Completado",IF($H191&lt;TODAY(),"Vencido",IF(($H191-TODAY())&lt;='Entregas Próximas'!$M$3,"Próximo a vencer","En curso"))),"")</f>
      </c>
      <c r="K191" s="201">
        <f>IF($C191,$H191-TODAY(),"")</f>
      </c>
      <c r="L191" s="201">
        <f>IF($C191,$AD191*1000000+$H191+ROW()/100000,"")</f>
      </c>
      <c r="M191" s="201">
        <f>IF($C191,IF($AD191=9999,"(Sin sprint)",$AD191),"")</f>
      </c>
      <c r="N191" s="201">
        <f>IF($C191,IF('Proyecto Datos (OKR´s)'!$E191="",9999,'Proyecto Datos (OKR´s)'!$E191),"")</f>
      </c>
      <c r="O191" s="201">
        <f>IF($C191,"T"&amp;TEXT(ROW(),"000"),"")</f>
      </c>
      <c r="R191" s="201">
        <f>IF($C191,IF(ISNUMBER('Proyecto Datos (OKR´s)'!$L191),'Proyecto Datos (OKR´s)'!$L191,$H191),"")</f>
      </c>
      <c r="S191" s="201">
        <f>IF($C191,$R191-'Proyecto Datos (OKR´s)'!$K191+1,"")</f>
      </c>
      <c r="T191" s="201">
        <f>IF($C191,MAX(0,TODAY()-'Proyecto Datos (OKR´s)'!$K191),"")</f>
      </c>
      <c r="U191" s="201">
        <f>IF($C191,MEDIAN(0,(TODAY()-'Proyecto Datos (OKR´s)'!$K191)/MAX(1,$R191-'Proyecto Datos (OKR´s)'!$K191),1),"")</f>
      </c>
      <c r="V191" s="201">
        <f>IF($C191,$I191-$U191,"")</f>
      </c>
      <c r="W191" s="201">
        <f>IF($C191,IF($J191="Completado",0,MAX(0,TODAY()-$H191)),"")</f>
      </c>
      <c r="X191" s="201">
        <f>IF($C191,IF(ISNUMBER($H191),$R191-$H191,0),"")</f>
      </c>
      <c r="Y191" s="201">
        <f>IF($C191,COUNTIFS($G$7:$G$200,$G191,$J$7:$J$200,"&lt;&gt;Completado",$J$7:$J$200,"&lt;&gt;"),"")</f>
      </c>
      <c r="Z191" s="201">
        <f>IF($C191,AND($I191=0,'Proyecto Datos (OKR´s)'!$K191&lt;=TODAY(),$J191&lt;&gt;"Completado"),"")</f>
      </c>
      <c r="AA191" s="201">
        <f>IF($C191,ROUND(100*(0.35*$AK191+0.3*$AL191+0.2*$AM191+0.15*MEDIAN(0,($Y191-4)/8,1)),0),"")</f>
      </c>
      <c r="AB191" s="202">
        <f>IF($C191,IF($J191="Completado","—",IF($AA191&gt;=70,"Crítica",IF($AA191&gt;=45,"Alta",IF($AA191&gt;=25,"Media","Baja")))),"")</f>
      </c>
      <c r="AC191" s="202">
        <f>IF($C191,IF(LEN(TRIM($AN191))=0,"—",TRIM($AN191)),"")</f>
      </c>
      <c r="AD191" s="201">
        <f>IF($C191,IF($N191=9999,9999,IF($J191="Completado",$N191,MAX($N191,'Historial de Sprints'!$C$7))),"")</f>
      </c>
      <c r="AE191" s="201">
        <f>IF($C191,IF($AD191=9999,"(Sin sprint)",$AD191),"")</f>
      </c>
      <c r="AF191" s="201">
        <f>IF($C191,AND($N191&lt;&gt;9999,$AD191&lt;&gt;$N191),FALSE)</f>
      </c>
      <c r="AG191" s="201">
        <f>IF($AF191,'Historial de Sprints'!$C$5+$N191*'Historial de Sprints'!$C$6-1,"")</f>
      </c>
      <c r="AH191" s="202">
        <f>IF($AF191,"No completada al cierre del Sprint "&amp;$N191&amp;" -&gt; reasignada al Sprint "&amp;$AD191,"")</f>
      </c>
      <c r="AI191" s="201">
        <f>IF($AF191,$N191*100000+ROW(),"")</f>
      </c>
      <c r="AJ191" s="201">
        <f>IF($C191,$AA191*1000000-MEDIAN(-9999,$K191,9999)*100+(300-ROW()),"")</f>
      </c>
      <c r="AK191" s="201">
        <f>IF($C191,IF($J191="Completado",0,IF($K191&lt;0,1,IF($K191&lt;=3,0.9,IF($K191&lt;=7,0.7,IF($K191&lt;=14,0.45,0.2))))),"")</f>
      </c>
      <c r="AL191" s="201">
        <f>IF($C191,IF($J191="Completado",0,MEDIAN(0,MAX(-$V191,$W191/30),1)),"")</f>
      </c>
      <c r="AM191" s="201">
        <f>IF($C191,IF($J191="Completado",0,IF($Z191,1,IF(AND($I191&lt;0.5,$K191&lt;=7),0.7,0.3))),"")</f>
      </c>
      <c r="AN191" s="202">
        <f>IF($C191,IF(OR($V191&lt;-0.2,$W191&gt;0),"ATRASO ","")&amp;IF($Z191,"BLOQUEO ","")&amp;IF($Y191&gt;8,"SOBRECARGA ","")&amp;IF($X191&gt;0,"DESVÍO-PLAN ",""),"")</f>
      </c>
    </row>
    <row r="192">
      <c r="A192" s="201">
        <f>ROW()</f>
      </c>
      <c r="B192" s="201">
        <f>ISTEXT('Proyecto Datos (OKR´s)'!$K192)</f>
      </c>
      <c r="C192" s="201">
        <f>AND(LEN('Proyecto Datos (OKR´s)'!$G192)&gt;0,NOT($B192),OR(ISNUMBER('Proyecto Datos (OKR´s)'!$F192),ISNUMBER('Proyecto Datos (OKR´s)'!$L192)))</f>
      </c>
      <c r="D192" s="202">
        <f>IF($C192,IFERROR(LOOKUP(2,1/((ISTEXT('Proyecto Datos (OKR´s)'!$K$7:$K192))*(LEN('Proyecto Datos (OKR´s)'!$G$7:$G192)&gt;0)),'Proyecto Datos (OKR´s)'!$G$7:$G192),""),"")</f>
      </c>
      <c r="E192" s="201">
        <f>IF($C192,'Proyecto Datos (OKR´s)'!$E192,"")</f>
      </c>
      <c r="F192" s="202">
        <f>IF($C192,'Proyecto Datos (OKR´s)'!$G192,"")</f>
      </c>
      <c r="G192" s="202">
        <f>IF($C192,IF('Proyecto Datos (OKR´s)'!$I192="","(Sin asignar)",'Proyecto Datos (OKR´s)'!$I192),"")</f>
      </c>
      <c r="H192" s="201">
        <f>IF($C192,IF(ISNUMBER('Proyecto Datos (OKR´s)'!$F192),'Proyecto Datos (OKR´s)'!$F192,'Proyecto Datos (OKR´s)'!$L192),"")</f>
      </c>
      <c r="I192" s="201">
        <f>IF($C192,'Proyecto Datos (OKR´s)'!$J192,"")</f>
      </c>
      <c r="J192" s="202">
        <f>IF($C192,IF($I192&gt;=1,"Completado",IF($H192&lt;TODAY(),"Vencido",IF(($H192-TODAY())&lt;='Entregas Próximas'!$M$3,"Próximo a vencer","En curso"))),"")</f>
      </c>
      <c r="K192" s="201">
        <f>IF($C192,$H192-TODAY(),"")</f>
      </c>
      <c r="L192" s="201">
        <f>IF($C192,$AD192*1000000+$H192+ROW()/100000,"")</f>
      </c>
      <c r="M192" s="201">
        <f>IF($C192,IF($AD192=9999,"(Sin sprint)",$AD192),"")</f>
      </c>
      <c r="N192" s="201">
        <f>IF($C192,IF('Proyecto Datos (OKR´s)'!$E192="",9999,'Proyecto Datos (OKR´s)'!$E192),"")</f>
      </c>
      <c r="O192" s="201">
        <f>IF($C192,"T"&amp;TEXT(ROW(),"000"),"")</f>
      </c>
      <c r="R192" s="201">
        <f>IF($C192,IF(ISNUMBER('Proyecto Datos (OKR´s)'!$L192),'Proyecto Datos (OKR´s)'!$L192,$H192),"")</f>
      </c>
      <c r="S192" s="201">
        <f>IF($C192,$R192-'Proyecto Datos (OKR´s)'!$K192+1,"")</f>
      </c>
      <c r="T192" s="201">
        <f>IF($C192,MAX(0,TODAY()-'Proyecto Datos (OKR´s)'!$K192),"")</f>
      </c>
      <c r="U192" s="201">
        <f>IF($C192,MEDIAN(0,(TODAY()-'Proyecto Datos (OKR´s)'!$K192)/MAX(1,$R192-'Proyecto Datos (OKR´s)'!$K192),1),"")</f>
      </c>
      <c r="V192" s="201">
        <f>IF($C192,$I192-$U192,"")</f>
      </c>
      <c r="W192" s="201">
        <f>IF($C192,IF($J192="Completado",0,MAX(0,TODAY()-$H192)),"")</f>
      </c>
      <c r="X192" s="201">
        <f>IF($C192,IF(ISNUMBER($H192),$R192-$H192,0),"")</f>
      </c>
      <c r="Y192" s="201">
        <f>IF($C192,COUNTIFS($G$7:$G$200,$G192,$J$7:$J$200,"&lt;&gt;Completado",$J$7:$J$200,"&lt;&gt;"),"")</f>
      </c>
      <c r="Z192" s="201">
        <f>IF($C192,AND($I192=0,'Proyecto Datos (OKR´s)'!$K192&lt;=TODAY(),$J192&lt;&gt;"Completado"),"")</f>
      </c>
      <c r="AA192" s="201">
        <f>IF($C192,ROUND(100*(0.35*$AK192+0.3*$AL192+0.2*$AM192+0.15*MEDIAN(0,($Y192-4)/8,1)),0),"")</f>
      </c>
      <c r="AB192" s="202">
        <f>IF($C192,IF($J192="Completado","—",IF($AA192&gt;=70,"Crítica",IF($AA192&gt;=45,"Alta",IF($AA192&gt;=25,"Media","Baja")))),"")</f>
      </c>
      <c r="AC192" s="202">
        <f>IF($C192,IF(LEN(TRIM($AN192))=0,"—",TRIM($AN192)),"")</f>
      </c>
      <c r="AD192" s="201">
        <f>IF($C192,IF($N192=9999,9999,IF($J192="Completado",$N192,MAX($N192,'Historial de Sprints'!$C$7))),"")</f>
      </c>
      <c r="AE192" s="201">
        <f>IF($C192,IF($AD192=9999,"(Sin sprint)",$AD192),"")</f>
      </c>
      <c r="AF192" s="201">
        <f>IF($C192,AND($N192&lt;&gt;9999,$AD192&lt;&gt;$N192),FALSE)</f>
      </c>
      <c r="AG192" s="201">
        <f>IF($AF192,'Historial de Sprints'!$C$5+$N192*'Historial de Sprints'!$C$6-1,"")</f>
      </c>
      <c r="AH192" s="202">
        <f>IF($AF192,"No completada al cierre del Sprint "&amp;$N192&amp;" -&gt; reasignada al Sprint "&amp;$AD192,"")</f>
      </c>
      <c r="AI192" s="201">
        <f>IF($AF192,$N192*100000+ROW(),"")</f>
      </c>
      <c r="AJ192" s="201">
        <f>IF($C192,$AA192*1000000-MEDIAN(-9999,$K192,9999)*100+(300-ROW()),"")</f>
      </c>
      <c r="AK192" s="201">
        <f>IF($C192,IF($J192="Completado",0,IF($K192&lt;0,1,IF($K192&lt;=3,0.9,IF($K192&lt;=7,0.7,IF($K192&lt;=14,0.45,0.2))))),"")</f>
      </c>
      <c r="AL192" s="201">
        <f>IF($C192,IF($J192="Completado",0,MEDIAN(0,MAX(-$V192,$W192/30),1)),"")</f>
      </c>
      <c r="AM192" s="201">
        <f>IF($C192,IF($J192="Completado",0,IF($Z192,1,IF(AND($I192&lt;0.5,$K192&lt;=7),0.7,0.3))),"")</f>
      </c>
      <c r="AN192" s="202">
        <f>IF($C192,IF(OR($V192&lt;-0.2,$W192&gt;0),"ATRASO ","")&amp;IF($Z192,"BLOQUEO ","")&amp;IF($Y192&gt;8,"SOBRECARGA ","")&amp;IF($X192&gt;0,"DESVÍO-PLAN ",""),"")</f>
      </c>
    </row>
    <row r="193">
      <c r="A193" s="201">
        <f>ROW()</f>
      </c>
      <c r="B193" s="201">
        <f>ISTEXT('Proyecto Datos (OKR´s)'!$K193)</f>
      </c>
      <c r="C193" s="201">
        <f>AND(LEN('Proyecto Datos (OKR´s)'!$G193)&gt;0,NOT($B193),OR(ISNUMBER('Proyecto Datos (OKR´s)'!$F193),ISNUMBER('Proyecto Datos (OKR´s)'!$L193)))</f>
      </c>
      <c r="D193" s="202">
        <f>IF($C193,IFERROR(LOOKUP(2,1/((ISTEXT('Proyecto Datos (OKR´s)'!$K$7:$K193))*(LEN('Proyecto Datos (OKR´s)'!$G$7:$G193)&gt;0)),'Proyecto Datos (OKR´s)'!$G$7:$G193),""),"")</f>
      </c>
      <c r="E193" s="201">
        <f>IF($C193,'Proyecto Datos (OKR´s)'!$E193,"")</f>
      </c>
      <c r="F193" s="202">
        <f>IF($C193,'Proyecto Datos (OKR´s)'!$G193,"")</f>
      </c>
      <c r="G193" s="202">
        <f>IF($C193,IF('Proyecto Datos (OKR´s)'!$I193="","(Sin asignar)",'Proyecto Datos (OKR´s)'!$I193),"")</f>
      </c>
      <c r="H193" s="201">
        <f>IF($C193,IF(ISNUMBER('Proyecto Datos (OKR´s)'!$F193),'Proyecto Datos (OKR´s)'!$F193,'Proyecto Datos (OKR´s)'!$L193),"")</f>
      </c>
      <c r="I193" s="201">
        <f>IF($C193,'Proyecto Datos (OKR´s)'!$J193,"")</f>
      </c>
      <c r="J193" s="202">
        <f>IF($C193,IF($I193&gt;=1,"Completado",IF($H193&lt;TODAY(),"Vencido",IF(($H193-TODAY())&lt;='Entregas Próximas'!$M$3,"Próximo a vencer","En curso"))),"")</f>
      </c>
      <c r="K193" s="201">
        <f>IF($C193,$H193-TODAY(),"")</f>
      </c>
      <c r="L193" s="201">
        <f>IF($C193,$AD193*1000000+$H193+ROW()/100000,"")</f>
      </c>
      <c r="M193" s="201">
        <f>IF($C193,IF($AD193=9999,"(Sin sprint)",$AD193),"")</f>
      </c>
      <c r="N193" s="201">
        <f>IF($C193,IF('Proyecto Datos (OKR´s)'!$E193="",9999,'Proyecto Datos (OKR´s)'!$E193),"")</f>
      </c>
      <c r="O193" s="201">
        <f>IF($C193,"T"&amp;TEXT(ROW(),"000"),"")</f>
      </c>
      <c r="R193" s="201">
        <f>IF($C193,IF(ISNUMBER('Proyecto Datos (OKR´s)'!$L193),'Proyecto Datos (OKR´s)'!$L193,$H193),"")</f>
      </c>
      <c r="S193" s="201">
        <f>IF($C193,$R193-'Proyecto Datos (OKR´s)'!$K193+1,"")</f>
      </c>
      <c r="T193" s="201">
        <f>IF($C193,MAX(0,TODAY()-'Proyecto Datos (OKR´s)'!$K193),"")</f>
      </c>
      <c r="U193" s="201">
        <f>IF($C193,MEDIAN(0,(TODAY()-'Proyecto Datos (OKR´s)'!$K193)/MAX(1,$R193-'Proyecto Datos (OKR´s)'!$K193),1),"")</f>
      </c>
      <c r="V193" s="201">
        <f>IF($C193,$I193-$U193,"")</f>
      </c>
      <c r="W193" s="201">
        <f>IF($C193,IF($J193="Completado",0,MAX(0,TODAY()-$H193)),"")</f>
      </c>
      <c r="X193" s="201">
        <f>IF($C193,IF(ISNUMBER($H193),$R193-$H193,0),"")</f>
      </c>
      <c r="Y193" s="201">
        <f>IF($C193,COUNTIFS($G$7:$G$200,$G193,$J$7:$J$200,"&lt;&gt;Completado",$J$7:$J$200,"&lt;&gt;"),"")</f>
      </c>
      <c r="Z193" s="201">
        <f>IF($C193,AND($I193=0,'Proyecto Datos (OKR´s)'!$K193&lt;=TODAY(),$J193&lt;&gt;"Completado"),"")</f>
      </c>
      <c r="AA193" s="201">
        <f>IF($C193,ROUND(100*(0.35*$AK193+0.3*$AL193+0.2*$AM193+0.15*MEDIAN(0,($Y193-4)/8,1)),0),"")</f>
      </c>
      <c r="AB193" s="202">
        <f>IF($C193,IF($J193="Completado","—",IF($AA193&gt;=70,"Crítica",IF($AA193&gt;=45,"Alta",IF($AA193&gt;=25,"Media","Baja")))),"")</f>
      </c>
      <c r="AC193" s="202">
        <f>IF($C193,IF(LEN(TRIM($AN193))=0,"—",TRIM($AN193)),"")</f>
      </c>
      <c r="AD193" s="201">
        <f>IF($C193,IF($N193=9999,9999,IF($J193="Completado",$N193,MAX($N193,'Historial de Sprints'!$C$7))),"")</f>
      </c>
      <c r="AE193" s="201">
        <f>IF($C193,IF($AD193=9999,"(Sin sprint)",$AD193),"")</f>
      </c>
      <c r="AF193" s="201">
        <f>IF($C193,AND($N193&lt;&gt;9999,$AD193&lt;&gt;$N193),FALSE)</f>
      </c>
      <c r="AG193" s="201">
        <f>IF($AF193,'Historial de Sprints'!$C$5+$N193*'Historial de Sprints'!$C$6-1,"")</f>
      </c>
      <c r="AH193" s="202">
        <f>IF($AF193,"No completada al cierre del Sprint "&amp;$N193&amp;" -&gt; reasignada al Sprint "&amp;$AD193,"")</f>
      </c>
      <c r="AI193" s="201">
        <f>IF($AF193,$N193*100000+ROW(),"")</f>
      </c>
      <c r="AJ193" s="201">
        <f>IF($C193,$AA193*1000000-MEDIAN(-9999,$K193,9999)*100+(300-ROW()),"")</f>
      </c>
      <c r="AK193" s="201">
        <f>IF($C193,IF($J193="Completado",0,IF($K193&lt;0,1,IF($K193&lt;=3,0.9,IF($K193&lt;=7,0.7,IF($K193&lt;=14,0.45,0.2))))),"")</f>
      </c>
      <c r="AL193" s="201">
        <f>IF($C193,IF($J193="Completado",0,MEDIAN(0,MAX(-$V193,$W193/30),1)),"")</f>
      </c>
      <c r="AM193" s="201">
        <f>IF($C193,IF($J193="Completado",0,IF($Z193,1,IF(AND($I193&lt;0.5,$K193&lt;=7),0.7,0.3))),"")</f>
      </c>
      <c r="AN193" s="202">
        <f>IF($C193,IF(OR($V193&lt;-0.2,$W193&gt;0),"ATRASO ","")&amp;IF($Z193,"BLOQUEO ","")&amp;IF($Y193&gt;8,"SOBRECARGA ","")&amp;IF($X193&gt;0,"DESVÍO-PLAN ",""),"")</f>
      </c>
    </row>
    <row r="194">
      <c r="A194" s="201">
        <f>ROW()</f>
      </c>
      <c r="B194" s="201">
        <f>ISTEXT('Proyecto Datos (OKR´s)'!$K194)</f>
      </c>
      <c r="C194" s="201">
        <f>AND(LEN('Proyecto Datos (OKR´s)'!$G194)&gt;0,NOT($B194),OR(ISNUMBER('Proyecto Datos (OKR´s)'!$F194),ISNUMBER('Proyecto Datos (OKR´s)'!$L194)))</f>
      </c>
      <c r="D194" s="202">
        <f>IF($C194,IFERROR(LOOKUP(2,1/((ISTEXT('Proyecto Datos (OKR´s)'!$K$7:$K194))*(LEN('Proyecto Datos (OKR´s)'!$G$7:$G194)&gt;0)),'Proyecto Datos (OKR´s)'!$G$7:$G194),""),"")</f>
      </c>
      <c r="E194" s="201">
        <f>IF($C194,'Proyecto Datos (OKR´s)'!$E194,"")</f>
      </c>
      <c r="F194" s="202">
        <f>IF($C194,'Proyecto Datos (OKR´s)'!$G194,"")</f>
      </c>
      <c r="G194" s="202">
        <f>IF($C194,IF('Proyecto Datos (OKR´s)'!$I194="","(Sin asignar)",'Proyecto Datos (OKR´s)'!$I194),"")</f>
      </c>
      <c r="H194" s="201">
        <f>IF($C194,IF(ISNUMBER('Proyecto Datos (OKR´s)'!$F194),'Proyecto Datos (OKR´s)'!$F194,'Proyecto Datos (OKR´s)'!$L194),"")</f>
      </c>
      <c r="I194" s="201">
        <f>IF($C194,'Proyecto Datos (OKR´s)'!$J194,"")</f>
      </c>
      <c r="J194" s="202">
        <f>IF($C194,IF($I194&gt;=1,"Completado",IF($H194&lt;TODAY(),"Vencido",IF(($H194-TODAY())&lt;='Entregas Próximas'!$M$3,"Próximo a vencer","En curso"))),"")</f>
      </c>
      <c r="K194" s="201">
        <f>IF($C194,$H194-TODAY(),"")</f>
      </c>
      <c r="L194" s="201">
        <f>IF($C194,$AD194*1000000+$H194+ROW()/100000,"")</f>
      </c>
      <c r="M194" s="201">
        <f>IF($C194,IF($AD194=9999,"(Sin sprint)",$AD194),"")</f>
      </c>
      <c r="N194" s="201">
        <f>IF($C194,IF('Proyecto Datos (OKR´s)'!$E194="",9999,'Proyecto Datos (OKR´s)'!$E194),"")</f>
      </c>
      <c r="O194" s="201">
        <f>IF($C194,"T"&amp;TEXT(ROW(),"000"),"")</f>
      </c>
      <c r="R194" s="201">
        <f>IF($C194,IF(ISNUMBER('Proyecto Datos (OKR´s)'!$L194),'Proyecto Datos (OKR´s)'!$L194,$H194),"")</f>
      </c>
      <c r="S194" s="201">
        <f>IF($C194,$R194-'Proyecto Datos (OKR´s)'!$K194+1,"")</f>
      </c>
      <c r="T194" s="201">
        <f>IF($C194,MAX(0,TODAY()-'Proyecto Datos (OKR´s)'!$K194),"")</f>
      </c>
      <c r="U194" s="201">
        <f>IF($C194,MEDIAN(0,(TODAY()-'Proyecto Datos (OKR´s)'!$K194)/MAX(1,$R194-'Proyecto Datos (OKR´s)'!$K194),1),"")</f>
      </c>
      <c r="V194" s="201">
        <f>IF($C194,$I194-$U194,"")</f>
      </c>
      <c r="W194" s="201">
        <f>IF($C194,IF($J194="Completado",0,MAX(0,TODAY()-$H194)),"")</f>
      </c>
      <c r="X194" s="201">
        <f>IF($C194,IF(ISNUMBER($H194),$R194-$H194,0),"")</f>
      </c>
      <c r="Y194" s="201">
        <f>IF($C194,COUNTIFS($G$7:$G$200,$G194,$J$7:$J$200,"&lt;&gt;Completado",$J$7:$J$200,"&lt;&gt;"),"")</f>
      </c>
      <c r="Z194" s="201">
        <f>IF($C194,AND($I194=0,'Proyecto Datos (OKR´s)'!$K194&lt;=TODAY(),$J194&lt;&gt;"Completado"),"")</f>
      </c>
      <c r="AA194" s="201">
        <f>IF($C194,ROUND(100*(0.35*$AK194+0.3*$AL194+0.2*$AM194+0.15*MEDIAN(0,($Y194-4)/8,1)),0),"")</f>
      </c>
      <c r="AB194" s="202">
        <f>IF($C194,IF($J194="Completado","—",IF($AA194&gt;=70,"Crítica",IF($AA194&gt;=45,"Alta",IF($AA194&gt;=25,"Media","Baja")))),"")</f>
      </c>
      <c r="AC194" s="202">
        <f>IF($C194,IF(LEN(TRIM($AN194))=0,"—",TRIM($AN194)),"")</f>
      </c>
      <c r="AD194" s="201">
        <f>IF($C194,IF($N194=9999,9999,IF($J194="Completado",$N194,MAX($N194,'Historial de Sprints'!$C$7))),"")</f>
      </c>
      <c r="AE194" s="201">
        <f>IF($C194,IF($AD194=9999,"(Sin sprint)",$AD194),"")</f>
      </c>
      <c r="AF194" s="201">
        <f>IF($C194,AND($N194&lt;&gt;9999,$AD194&lt;&gt;$N194),FALSE)</f>
      </c>
      <c r="AG194" s="201">
        <f>IF($AF194,'Historial de Sprints'!$C$5+$N194*'Historial de Sprints'!$C$6-1,"")</f>
      </c>
      <c r="AH194" s="202">
        <f>IF($AF194,"No completada al cierre del Sprint "&amp;$N194&amp;" -&gt; reasignada al Sprint "&amp;$AD194,"")</f>
      </c>
      <c r="AI194" s="201">
        <f>IF($AF194,$N194*100000+ROW(),"")</f>
      </c>
      <c r="AJ194" s="201">
        <f>IF($C194,$AA194*1000000-MEDIAN(-9999,$K194,9999)*100+(300-ROW()),"")</f>
      </c>
      <c r="AK194" s="201">
        <f>IF($C194,IF($J194="Completado",0,IF($K194&lt;0,1,IF($K194&lt;=3,0.9,IF($K194&lt;=7,0.7,IF($K194&lt;=14,0.45,0.2))))),"")</f>
      </c>
      <c r="AL194" s="201">
        <f>IF($C194,IF($J194="Completado",0,MEDIAN(0,MAX(-$V194,$W194/30),1)),"")</f>
      </c>
      <c r="AM194" s="201">
        <f>IF($C194,IF($J194="Completado",0,IF($Z194,1,IF(AND($I194&lt;0.5,$K194&lt;=7),0.7,0.3))),"")</f>
      </c>
      <c r="AN194" s="202">
        <f>IF($C194,IF(OR($V194&lt;-0.2,$W194&gt;0),"ATRASO ","")&amp;IF($Z194,"BLOQUEO ","")&amp;IF($Y194&gt;8,"SOBRECARGA ","")&amp;IF($X194&gt;0,"DESVÍO-PLAN ",""),"")</f>
      </c>
    </row>
    <row r="195">
      <c r="A195" s="201">
        <f>ROW()</f>
      </c>
      <c r="B195" s="201">
        <f>ISTEXT('Proyecto Datos (OKR´s)'!$K195)</f>
      </c>
      <c r="C195" s="201">
        <f>AND(LEN('Proyecto Datos (OKR´s)'!$G195)&gt;0,NOT($B195),OR(ISNUMBER('Proyecto Datos (OKR´s)'!$F195),ISNUMBER('Proyecto Datos (OKR´s)'!$L195)))</f>
      </c>
      <c r="D195" s="202">
        <f>IF($C195,IFERROR(LOOKUP(2,1/((ISTEXT('Proyecto Datos (OKR´s)'!$K$7:$K195))*(LEN('Proyecto Datos (OKR´s)'!$G$7:$G195)&gt;0)),'Proyecto Datos (OKR´s)'!$G$7:$G195),""),"")</f>
      </c>
      <c r="E195" s="201">
        <f>IF($C195,'Proyecto Datos (OKR´s)'!$E195,"")</f>
      </c>
      <c r="F195" s="202">
        <f>IF($C195,'Proyecto Datos (OKR´s)'!$G195,"")</f>
      </c>
      <c r="G195" s="202">
        <f>IF($C195,IF('Proyecto Datos (OKR´s)'!$I195="","(Sin asignar)",'Proyecto Datos (OKR´s)'!$I195),"")</f>
      </c>
      <c r="H195" s="201">
        <f>IF($C195,IF(ISNUMBER('Proyecto Datos (OKR´s)'!$F195),'Proyecto Datos (OKR´s)'!$F195,'Proyecto Datos (OKR´s)'!$L195),"")</f>
      </c>
      <c r="I195" s="201">
        <f>IF($C195,'Proyecto Datos (OKR´s)'!$J195,"")</f>
      </c>
      <c r="J195" s="202">
        <f>IF($C195,IF($I195&gt;=1,"Completado",IF($H195&lt;TODAY(),"Vencido",IF(($H195-TODAY())&lt;='Entregas Próximas'!$M$3,"Próximo a vencer","En curso"))),"")</f>
      </c>
      <c r="K195" s="201">
        <f>IF($C195,$H195-TODAY(),"")</f>
      </c>
      <c r="L195" s="201">
        <f>IF($C195,$AD195*1000000+$H195+ROW()/100000,"")</f>
      </c>
      <c r="M195" s="201">
        <f>IF($C195,IF($AD195=9999,"(Sin sprint)",$AD195),"")</f>
      </c>
      <c r="N195" s="201">
        <f>IF($C195,IF('Proyecto Datos (OKR´s)'!$E195="",9999,'Proyecto Datos (OKR´s)'!$E195),"")</f>
      </c>
      <c r="O195" s="201">
        <f>IF($C195,"T"&amp;TEXT(ROW(),"000"),"")</f>
      </c>
      <c r="R195" s="201">
        <f>IF($C195,IF(ISNUMBER('Proyecto Datos (OKR´s)'!$L195),'Proyecto Datos (OKR´s)'!$L195,$H195),"")</f>
      </c>
      <c r="S195" s="201">
        <f>IF($C195,$R195-'Proyecto Datos (OKR´s)'!$K195+1,"")</f>
      </c>
      <c r="T195" s="201">
        <f>IF($C195,MAX(0,TODAY()-'Proyecto Datos (OKR´s)'!$K195),"")</f>
      </c>
      <c r="U195" s="201">
        <f>IF($C195,MEDIAN(0,(TODAY()-'Proyecto Datos (OKR´s)'!$K195)/MAX(1,$R195-'Proyecto Datos (OKR´s)'!$K195),1),"")</f>
      </c>
      <c r="V195" s="201">
        <f>IF($C195,$I195-$U195,"")</f>
      </c>
      <c r="W195" s="201">
        <f>IF($C195,IF($J195="Completado",0,MAX(0,TODAY()-$H195)),"")</f>
      </c>
      <c r="X195" s="201">
        <f>IF($C195,IF(ISNUMBER($H195),$R195-$H195,0),"")</f>
      </c>
      <c r="Y195" s="201">
        <f>IF($C195,COUNTIFS($G$7:$G$200,$G195,$J$7:$J$200,"&lt;&gt;Completado",$J$7:$J$200,"&lt;&gt;"),"")</f>
      </c>
      <c r="Z195" s="201">
        <f>IF($C195,AND($I195=0,'Proyecto Datos (OKR´s)'!$K195&lt;=TODAY(),$J195&lt;&gt;"Completado"),"")</f>
      </c>
      <c r="AA195" s="201">
        <f>IF($C195,ROUND(100*(0.35*$AK195+0.3*$AL195+0.2*$AM195+0.15*MEDIAN(0,($Y195-4)/8,1)),0),"")</f>
      </c>
      <c r="AB195" s="202">
        <f>IF($C195,IF($J195="Completado","—",IF($AA195&gt;=70,"Crítica",IF($AA195&gt;=45,"Alta",IF($AA195&gt;=25,"Media","Baja")))),"")</f>
      </c>
      <c r="AC195" s="202">
        <f>IF($C195,IF(LEN(TRIM($AN195))=0,"—",TRIM($AN195)),"")</f>
      </c>
      <c r="AD195" s="201">
        <f>IF($C195,IF($N195=9999,9999,IF($J195="Completado",$N195,MAX($N195,'Historial de Sprints'!$C$7))),"")</f>
      </c>
      <c r="AE195" s="201">
        <f>IF($C195,IF($AD195=9999,"(Sin sprint)",$AD195),"")</f>
      </c>
      <c r="AF195" s="201">
        <f>IF($C195,AND($N195&lt;&gt;9999,$AD195&lt;&gt;$N195),FALSE)</f>
      </c>
      <c r="AG195" s="201">
        <f>IF($AF195,'Historial de Sprints'!$C$5+$N195*'Historial de Sprints'!$C$6-1,"")</f>
      </c>
      <c r="AH195" s="202">
        <f>IF($AF195,"No completada al cierre del Sprint "&amp;$N195&amp;" -&gt; reasignada al Sprint "&amp;$AD195,"")</f>
      </c>
      <c r="AI195" s="201">
        <f>IF($AF195,$N195*100000+ROW(),"")</f>
      </c>
      <c r="AJ195" s="201">
        <f>IF($C195,$AA195*1000000-MEDIAN(-9999,$K195,9999)*100+(300-ROW()),"")</f>
      </c>
      <c r="AK195" s="201">
        <f>IF($C195,IF($J195="Completado",0,IF($K195&lt;0,1,IF($K195&lt;=3,0.9,IF($K195&lt;=7,0.7,IF($K195&lt;=14,0.45,0.2))))),"")</f>
      </c>
      <c r="AL195" s="201">
        <f>IF($C195,IF($J195="Completado",0,MEDIAN(0,MAX(-$V195,$W195/30),1)),"")</f>
      </c>
      <c r="AM195" s="201">
        <f>IF($C195,IF($J195="Completado",0,IF($Z195,1,IF(AND($I195&lt;0.5,$K195&lt;=7),0.7,0.3))),"")</f>
      </c>
      <c r="AN195" s="202">
        <f>IF($C195,IF(OR($V195&lt;-0.2,$W195&gt;0),"ATRASO ","")&amp;IF($Z195,"BLOQUEO ","")&amp;IF($Y195&gt;8,"SOBRECARGA ","")&amp;IF($X195&gt;0,"DESVÍO-PLAN ",""),"")</f>
      </c>
    </row>
    <row r="196">
      <c r="A196" s="201">
        <f>ROW()</f>
      </c>
      <c r="B196" s="201">
        <f>ISTEXT('Proyecto Datos (OKR´s)'!$K196)</f>
      </c>
      <c r="C196" s="201">
        <f>AND(LEN('Proyecto Datos (OKR´s)'!$G196)&gt;0,NOT($B196),OR(ISNUMBER('Proyecto Datos (OKR´s)'!$F196),ISNUMBER('Proyecto Datos (OKR´s)'!$L196)))</f>
      </c>
      <c r="D196" s="202">
        <f>IF($C196,IFERROR(LOOKUP(2,1/((ISTEXT('Proyecto Datos (OKR´s)'!$K$7:$K196))*(LEN('Proyecto Datos (OKR´s)'!$G$7:$G196)&gt;0)),'Proyecto Datos (OKR´s)'!$G$7:$G196),""),"")</f>
      </c>
      <c r="E196" s="201">
        <f>IF($C196,'Proyecto Datos (OKR´s)'!$E196,"")</f>
      </c>
      <c r="F196" s="202">
        <f>IF($C196,'Proyecto Datos (OKR´s)'!$G196,"")</f>
      </c>
      <c r="G196" s="202">
        <f>IF($C196,IF('Proyecto Datos (OKR´s)'!$I196="","(Sin asignar)",'Proyecto Datos (OKR´s)'!$I196),"")</f>
      </c>
      <c r="H196" s="201">
        <f>IF($C196,IF(ISNUMBER('Proyecto Datos (OKR´s)'!$F196),'Proyecto Datos (OKR´s)'!$F196,'Proyecto Datos (OKR´s)'!$L196),"")</f>
      </c>
      <c r="I196" s="201">
        <f>IF($C196,'Proyecto Datos (OKR´s)'!$J196,"")</f>
      </c>
      <c r="J196" s="202">
        <f>IF($C196,IF($I196&gt;=1,"Completado",IF($H196&lt;TODAY(),"Vencido",IF(($H196-TODAY())&lt;='Entregas Próximas'!$M$3,"Próximo a vencer","En curso"))),"")</f>
      </c>
      <c r="K196" s="201">
        <f>IF($C196,$H196-TODAY(),"")</f>
      </c>
      <c r="L196" s="201">
        <f>IF($C196,$AD196*1000000+$H196+ROW()/100000,"")</f>
      </c>
      <c r="M196" s="201">
        <f>IF($C196,IF($AD196=9999,"(Sin sprint)",$AD196),"")</f>
      </c>
      <c r="N196" s="201">
        <f>IF($C196,IF('Proyecto Datos (OKR´s)'!$E196="",9999,'Proyecto Datos (OKR´s)'!$E196),"")</f>
      </c>
      <c r="O196" s="201">
        <f>IF($C196,"T"&amp;TEXT(ROW(),"000"),"")</f>
      </c>
      <c r="R196" s="201">
        <f>IF($C196,IF(ISNUMBER('Proyecto Datos (OKR´s)'!$L196),'Proyecto Datos (OKR´s)'!$L196,$H196),"")</f>
      </c>
      <c r="S196" s="201">
        <f>IF($C196,$R196-'Proyecto Datos (OKR´s)'!$K196+1,"")</f>
      </c>
      <c r="T196" s="201">
        <f>IF($C196,MAX(0,TODAY()-'Proyecto Datos (OKR´s)'!$K196),"")</f>
      </c>
      <c r="U196" s="201">
        <f>IF($C196,MEDIAN(0,(TODAY()-'Proyecto Datos (OKR´s)'!$K196)/MAX(1,$R196-'Proyecto Datos (OKR´s)'!$K196),1),"")</f>
      </c>
      <c r="V196" s="201">
        <f>IF($C196,$I196-$U196,"")</f>
      </c>
      <c r="W196" s="201">
        <f>IF($C196,IF($J196="Completado",0,MAX(0,TODAY()-$H196)),"")</f>
      </c>
      <c r="X196" s="201">
        <f>IF($C196,IF(ISNUMBER($H196),$R196-$H196,0),"")</f>
      </c>
      <c r="Y196" s="201">
        <f>IF($C196,COUNTIFS($G$7:$G$200,$G196,$J$7:$J$200,"&lt;&gt;Completado",$J$7:$J$200,"&lt;&gt;"),"")</f>
      </c>
      <c r="Z196" s="201">
        <f>IF($C196,AND($I196=0,'Proyecto Datos (OKR´s)'!$K196&lt;=TODAY(),$J196&lt;&gt;"Completado"),"")</f>
      </c>
      <c r="AA196" s="201">
        <f>IF($C196,ROUND(100*(0.35*$AK196+0.3*$AL196+0.2*$AM196+0.15*MEDIAN(0,($Y196-4)/8,1)),0),"")</f>
      </c>
      <c r="AB196" s="202">
        <f>IF($C196,IF($J196="Completado","—",IF($AA196&gt;=70,"Crítica",IF($AA196&gt;=45,"Alta",IF($AA196&gt;=25,"Media","Baja")))),"")</f>
      </c>
      <c r="AC196" s="202">
        <f>IF($C196,IF(LEN(TRIM($AN196))=0,"—",TRIM($AN196)),"")</f>
      </c>
      <c r="AD196" s="201">
        <f>IF($C196,IF($N196=9999,9999,IF($J196="Completado",$N196,MAX($N196,'Historial de Sprints'!$C$7))),"")</f>
      </c>
      <c r="AE196" s="201">
        <f>IF($C196,IF($AD196=9999,"(Sin sprint)",$AD196),"")</f>
      </c>
      <c r="AF196" s="201">
        <f>IF($C196,AND($N196&lt;&gt;9999,$AD196&lt;&gt;$N196),FALSE)</f>
      </c>
      <c r="AG196" s="201">
        <f>IF($AF196,'Historial de Sprints'!$C$5+$N196*'Historial de Sprints'!$C$6-1,"")</f>
      </c>
      <c r="AH196" s="202">
        <f>IF($AF196,"No completada al cierre del Sprint "&amp;$N196&amp;" -&gt; reasignada al Sprint "&amp;$AD196,"")</f>
      </c>
      <c r="AI196" s="201">
        <f>IF($AF196,$N196*100000+ROW(),"")</f>
      </c>
      <c r="AJ196" s="201">
        <f>IF($C196,$AA196*1000000-MEDIAN(-9999,$K196,9999)*100+(300-ROW()),"")</f>
      </c>
      <c r="AK196" s="201">
        <f>IF($C196,IF($J196="Completado",0,IF($K196&lt;0,1,IF($K196&lt;=3,0.9,IF($K196&lt;=7,0.7,IF($K196&lt;=14,0.45,0.2))))),"")</f>
      </c>
      <c r="AL196" s="201">
        <f>IF($C196,IF($J196="Completado",0,MEDIAN(0,MAX(-$V196,$W196/30),1)),"")</f>
      </c>
      <c r="AM196" s="201">
        <f>IF($C196,IF($J196="Completado",0,IF($Z196,1,IF(AND($I196&lt;0.5,$K196&lt;=7),0.7,0.3))),"")</f>
      </c>
      <c r="AN196" s="202">
        <f>IF($C196,IF(OR($V196&lt;-0.2,$W196&gt;0),"ATRASO ","")&amp;IF($Z196,"BLOQUEO ","")&amp;IF($Y196&gt;8,"SOBRECARGA ","")&amp;IF($X196&gt;0,"DESVÍO-PLAN ",""),"")</f>
      </c>
    </row>
    <row r="197">
      <c r="A197" s="201">
        <f>ROW()</f>
      </c>
      <c r="B197" s="201">
        <f>ISTEXT('Proyecto Datos (OKR´s)'!$K197)</f>
      </c>
      <c r="C197" s="201">
        <f>AND(LEN('Proyecto Datos (OKR´s)'!$G197)&gt;0,NOT($B197),OR(ISNUMBER('Proyecto Datos (OKR´s)'!$F197),ISNUMBER('Proyecto Datos (OKR´s)'!$L197)))</f>
      </c>
      <c r="D197" s="202">
        <f>IF($C197,IFERROR(LOOKUP(2,1/((ISTEXT('Proyecto Datos (OKR´s)'!$K$7:$K197))*(LEN('Proyecto Datos (OKR´s)'!$G$7:$G197)&gt;0)),'Proyecto Datos (OKR´s)'!$G$7:$G197),""),"")</f>
      </c>
      <c r="E197" s="201">
        <f>IF($C197,'Proyecto Datos (OKR´s)'!$E197,"")</f>
      </c>
      <c r="F197" s="202">
        <f>IF($C197,'Proyecto Datos (OKR´s)'!$G197,"")</f>
      </c>
      <c r="G197" s="202">
        <f>IF($C197,IF('Proyecto Datos (OKR´s)'!$I197="","(Sin asignar)",'Proyecto Datos (OKR´s)'!$I197),"")</f>
      </c>
      <c r="H197" s="201">
        <f>IF($C197,IF(ISNUMBER('Proyecto Datos (OKR´s)'!$F197),'Proyecto Datos (OKR´s)'!$F197,'Proyecto Datos (OKR´s)'!$L197),"")</f>
      </c>
      <c r="I197" s="201">
        <f>IF($C197,'Proyecto Datos (OKR´s)'!$J197,"")</f>
      </c>
      <c r="J197" s="202">
        <f>IF($C197,IF($I197&gt;=1,"Completado",IF($H197&lt;TODAY(),"Vencido",IF(($H197-TODAY())&lt;='Entregas Próximas'!$M$3,"Próximo a vencer","En curso"))),"")</f>
      </c>
      <c r="K197" s="201">
        <f>IF($C197,$H197-TODAY(),"")</f>
      </c>
      <c r="L197" s="201">
        <f>IF($C197,$AD197*1000000+$H197+ROW()/100000,"")</f>
      </c>
      <c r="M197" s="201">
        <f>IF($C197,IF($AD197=9999,"(Sin sprint)",$AD197),"")</f>
      </c>
      <c r="N197" s="201">
        <f>IF($C197,IF('Proyecto Datos (OKR´s)'!$E197="",9999,'Proyecto Datos (OKR´s)'!$E197),"")</f>
      </c>
      <c r="O197" s="201">
        <f>IF($C197,"T"&amp;TEXT(ROW(),"000"),"")</f>
      </c>
      <c r="R197" s="201">
        <f>IF($C197,IF(ISNUMBER('Proyecto Datos (OKR´s)'!$L197),'Proyecto Datos (OKR´s)'!$L197,$H197),"")</f>
      </c>
      <c r="S197" s="201">
        <f>IF($C197,$R197-'Proyecto Datos (OKR´s)'!$K197+1,"")</f>
      </c>
      <c r="T197" s="201">
        <f>IF($C197,MAX(0,TODAY()-'Proyecto Datos (OKR´s)'!$K197),"")</f>
      </c>
      <c r="U197" s="201">
        <f>IF($C197,MEDIAN(0,(TODAY()-'Proyecto Datos (OKR´s)'!$K197)/MAX(1,$R197-'Proyecto Datos (OKR´s)'!$K197),1),"")</f>
      </c>
      <c r="V197" s="201">
        <f>IF($C197,$I197-$U197,"")</f>
      </c>
      <c r="W197" s="201">
        <f>IF($C197,IF($J197="Completado",0,MAX(0,TODAY()-$H197)),"")</f>
      </c>
      <c r="X197" s="201">
        <f>IF($C197,IF(ISNUMBER($H197),$R197-$H197,0),"")</f>
      </c>
      <c r="Y197" s="201">
        <f>IF($C197,COUNTIFS($G$7:$G$200,$G197,$J$7:$J$200,"&lt;&gt;Completado",$J$7:$J$200,"&lt;&gt;"),"")</f>
      </c>
      <c r="Z197" s="201">
        <f>IF($C197,AND($I197=0,'Proyecto Datos (OKR´s)'!$K197&lt;=TODAY(),$J197&lt;&gt;"Completado"),"")</f>
      </c>
      <c r="AA197" s="201">
        <f>IF($C197,ROUND(100*(0.35*$AK197+0.3*$AL197+0.2*$AM197+0.15*MEDIAN(0,($Y197-4)/8,1)),0),"")</f>
      </c>
      <c r="AB197" s="202">
        <f>IF($C197,IF($J197="Completado","—",IF($AA197&gt;=70,"Crítica",IF($AA197&gt;=45,"Alta",IF($AA197&gt;=25,"Media","Baja")))),"")</f>
      </c>
      <c r="AC197" s="202">
        <f>IF($C197,IF(LEN(TRIM($AN197))=0,"—",TRIM($AN197)),"")</f>
      </c>
      <c r="AD197" s="201">
        <f>IF($C197,IF($N197=9999,9999,IF($J197="Completado",$N197,MAX($N197,'Historial de Sprints'!$C$7))),"")</f>
      </c>
      <c r="AE197" s="201">
        <f>IF($C197,IF($AD197=9999,"(Sin sprint)",$AD197),"")</f>
      </c>
      <c r="AF197" s="201">
        <f>IF($C197,AND($N197&lt;&gt;9999,$AD197&lt;&gt;$N197),FALSE)</f>
      </c>
      <c r="AG197" s="201">
        <f>IF($AF197,'Historial de Sprints'!$C$5+$N197*'Historial de Sprints'!$C$6-1,"")</f>
      </c>
      <c r="AH197" s="202">
        <f>IF($AF197,"No completada al cierre del Sprint "&amp;$N197&amp;" -&gt; reasignada al Sprint "&amp;$AD197,"")</f>
      </c>
      <c r="AI197" s="201">
        <f>IF($AF197,$N197*100000+ROW(),"")</f>
      </c>
      <c r="AJ197" s="201">
        <f>IF($C197,$AA197*1000000-MEDIAN(-9999,$K197,9999)*100+(300-ROW()),"")</f>
      </c>
      <c r="AK197" s="201">
        <f>IF($C197,IF($J197="Completado",0,IF($K197&lt;0,1,IF($K197&lt;=3,0.9,IF($K197&lt;=7,0.7,IF($K197&lt;=14,0.45,0.2))))),"")</f>
      </c>
      <c r="AL197" s="201">
        <f>IF($C197,IF($J197="Completado",0,MEDIAN(0,MAX(-$V197,$W197/30),1)),"")</f>
      </c>
      <c r="AM197" s="201">
        <f>IF($C197,IF($J197="Completado",0,IF($Z197,1,IF(AND($I197&lt;0.5,$K197&lt;=7),0.7,0.3))),"")</f>
      </c>
      <c r="AN197" s="202">
        <f>IF($C197,IF(OR($V197&lt;-0.2,$W197&gt;0),"ATRASO ","")&amp;IF($Z197,"BLOQUEO ","")&amp;IF($Y197&gt;8,"SOBRECARGA ","")&amp;IF($X197&gt;0,"DESVÍO-PLAN ",""),"")</f>
      </c>
    </row>
    <row r="198">
      <c r="A198" s="201">
        <f>ROW()</f>
      </c>
      <c r="B198" s="201">
        <f>ISTEXT('Proyecto Datos (OKR´s)'!$K198)</f>
      </c>
      <c r="C198" s="201">
        <f>AND(LEN('Proyecto Datos (OKR´s)'!$G198)&gt;0,NOT($B198),OR(ISNUMBER('Proyecto Datos (OKR´s)'!$F198),ISNUMBER('Proyecto Datos (OKR´s)'!$L198)))</f>
      </c>
      <c r="D198" s="202">
        <f>IF($C198,IFERROR(LOOKUP(2,1/((ISTEXT('Proyecto Datos (OKR´s)'!$K$7:$K198))*(LEN('Proyecto Datos (OKR´s)'!$G$7:$G198)&gt;0)),'Proyecto Datos (OKR´s)'!$G$7:$G198),""),"")</f>
      </c>
      <c r="E198" s="201">
        <f>IF($C198,'Proyecto Datos (OKR´s)'!$E198,"")</f>
      </c>
      <c r="F198" s="202">
        <f>IF($C198,'Proyecto Datos (OKR´s)'!$G198,"")</f>
      </c>
      <c r="G198" s="202">
        <f>IF($C198,IF('Proyecto Datos (OKR´s)'!$I198="","(Sin asignar)",'Proyecto Datos (OKR´s)'!$I198),"")</f>
      </c>
      <c r="H198" s="201">
        <f>IF($C198,IF(ISNUMBER('Proyecto Datos (OKR´s)'!$F198),'Proyecto Datos (OKR´s)'!$F198,'Proyecto Datos (OKR´s)'!$L198),"")</f>
      </c>
      <c r="I198" s="201">
        <f>IF($C198,'Proyecto Datos (OKR´s)'!$J198,"")</f>
      </c>
      <c r="J198" s="202">
        <f>IF($C198,IF($I198&gt;=1,"Completado",IF($H198&lt;TODAY(),"Vencido",IF(($H198-TODAY())&lt;='Entregas Próximas'!$M$3,"Próximo a vencer","En curso"))),"")</f>
      </c>
      <c r="K198" s="201">
        <f>IF($C198,$H198-TODAY(),"")</f>
      </c>
      <c r="L198" s="201">
        <f>IF($C198,$AD198*1000000+$H198+ROW()/100000,"")</f>
      </c>
      <c r="M198" s="201">
        <f>IF($C198,IF($AD198=9999,"(Sin sprint)",$AD198),"")</f>
      </c>
      <c r="N198" s="201">
        <f>IF($C198,IF('Proyecto Datos (OKR´s)'!$E198="",9999,'Proyecto Datos (OKR´s)'!$E198),"")</f>
      </c>
      <c r="O198" s="201">
        <f>IF($C198,"T"&amp;TEXT(ROW(),"000"),"")</f>
      </c>
      <c r="R198" s="201">
        <f>IF($C198,IF(ISNUMBER('Proyecto Datos (OKR´s)'!$L198),'Proyecto Datos (OKR´s)'!$L198,$H198),"")</f>
      </c>
      <c r="S198" s="201">
        <f>IF($C198,$R198-'Proyecto Datos (OKR´s)'!$K198+1,"")</f>
      </c>
      <c r="T198" s="201">
        <f>IF($C198,MAX(0,TODAY()-'Proyecto Datos (OKR´s)'!$K198),"")</f>
      </c>
      <c r="U198" s="201">
        <f>IF($C198,MEDIAN(0,(TODAY()-'Proyecto Datos (OKR´s)'!$K198)/MAX(1,$R198-'Proyecto Datos (OKR´s)'!$K198),1),"")</f>
      </c>
      <c r="V198" s="201">
        <f>IF($C198,$I198-$U198,"")</f>
      </c>
      <c r="W198" s="201">
        <f>IF($C198,IF($J198="Completado",0,MAX(0,TODAY()-$H198)),"")</f>
      </c>
      <c r="X198" s="201">
        <f>IF($C198,IF(ISNUMBER($H198),$R198-$H198,0),"")</f>
      </c>
      <c r="Y198" s="201">
        <f>IF($C198,COUNTIFS($G$7:$G$200,$G198,$J$7:$J$200,"&lt;&gt;Completado",$J$7:$J$200,"&lt;&gt;"),"")</f>
      </c>
      <c r="Z198" s="201">
        <f>IF($C198,AND($I198=0,'Proyecto Datos (OKR´s)'!$K198&lt;=TODAY(),$J198&lt;&gt;"Completado"),"")</f>
      </c>
      <c r="AA198" s="201">
        <f>IF($C198,ROUND(100*(0.35*$AK198+0.3*$AL198+0.2*$AM198+0.15*MEDIAN(0,($Y198-4)/8,1)),0),"")</f>
      </c>
      <c r="AB198" s="202">
        <f>IF($C198,IF($J198="Completado","—",IF($AA198&gt;=70,"Crítica",IF($AA198&gt;=45,"Alta",IF($AA198&gt;=25,"Media","Baja")))),"")</f>
      </c>
      <c r="AC198" s="202">
        <f>IF($C198,IF(LEN(TRIM($AN198))=0,"—",TRIM($AN198)),"")</f>
      </c>
      <c r="AD198" s="201">
        <f>IF($C198,IF($N198=9999,9999,IF($J198="Completado",$N198,MAX($N198,'Historial de Sprints'!$C$7))),"")</f>
      </c>
      <c r="AE198" s="201">
        <f>IF($C198,IF($AD198=9999,"(Sin sprint)",$AD198),"")</f>
      </c>
      <c r="AF198" s="201">
        <f>IF($C198,AND($N198&lt;&gt;9999,$AD198&lt;&gt;$N198),FALSE)</f>
      </c>
      <c r="AG198" s="201">
        <f>IF($AF198,'Historial de Sprints'!$C$5+$N198*'Historial de Sprints'!$C$6-1,"")</f>
      </c>
      <c r="AH198" s="202">
        <f>IF($AF198,"No completada al cierre del Sprint "&amp;$N198&amp;" -&gt; reasignada al Sprint "&amp;$AD198,"")</f>
      </c>
      <c r="AI198" s="201">
        <f>IF($AF198,$N198*100000+ROW(),"")</f>
      </c>
      <c r="AJ198" s="201">
        <f>IF($C198,$AA198*1000000-MEDIAN(-9999,$K198,9999)*100+(300-ROW()),"")</f>
      </c>
      <c r="AK198" s="201">
        <f>IF($C198,IF($J198="Completado",0,IF($K198&lt;0,1,IF($K198&lt;=3,0.9,IF($K198&lt;=7,0.7,IF($K198&lt;=14,0.45,0.2))))),"")</f>
      </c>
      <c r="AL198" s="201">
        <f>IF($C198,IF($J198="Completado",0,MEDIAN(0,MAX(-$V198,$W198/30),1)),"")</f>
      </c>
      <c r="AM198" s="201">
        <f>IF($C198,IF($J198="Completado",0,IF($Z198,1,IF(AND($I198&lt;0.5,$K198&lt;=7),0.7,0.3))),"")</f>
      </c>
      <c r="AN198" s="202">
        <f>IF($C198,IF(OR($V198&lt;-0.2,$W198&gt;0),"ATRASO ","")&amp;IF($Z198,"BLOQUEO ","")&amp;IF($Y198&gt;8,"SOBRECARGA ","")&amp;IF($X198&gt;0,"DESVÍO-PLAN ",""),"")</f>
      </c>
    </row>
    <row r="199">
      <c r="A199" s="201">
        <f>ROW()</f>
      </c>
      <c r="B199" s="201">
        <f>ISTEXT('Proyecto Datos (OKR´s)'!$K199)</f>
      </c>
      <c r="C199" s="201">
        <f>AND(LEN('Proyecto Datos (OKR´s)'!$G199)&gt;0,NOT($B199),OR(ISNUMBER('Proyecto Datos (OKR´s)'!$F199),ISNUMBER('Proyecto Datos (OKR´s)'!$L199)))</f>
      </c>
      <c r="D199" s="202">
        <f>IF($C199,IFERROR(LOOKUP(2,1/((ISTEXT('Proyecto Datos (OKR´s)'!$K$7:$K199))*(LEN('Proyecto Datos (OKR´s)'!$G$7:$G199)&gt;0)),'Proyecto Datos (OKR´s)'!$G$7:$G199),""),"")</f>
      </c>
      <c r="E199" s="201">
        <f>IF($C199,'Proyecto Datos (OKR´s)'!$E199,"")</f>
      </c>
      <c r="F199" s="202">
        <f>IF($C199,'Proyecto Datos (OKR´s)'!$G199,"")</f>
      </c>
      <c r="G199" s="202">
        <f>IF($C199,IF('Proyecto Datos (OKR´s)'!$I199="","(Sin asignar)",'Proyecto Datos (OKR´s)'!$I199),"")</f>
      </c>
      <c r="H199" s="201">
        <f>IF($C199,IF(ISNUMBER('Proyecto Datos (OKR´s)'!$F199),'Proyecto Datos (OKR´s)'!$F199,'Proyecto Datos (OKR´s)'!$L199),"")</f>
      </c>
      <c r="I199" s="201">
        <f>IF($C199,'Proyecto Datos (OKR´s)'!$J199,"")</f>
      </c>
      <c r="J199" s="202">
        <f>IF($C199,IF($I199&gt;=1,"Completado",IF($H199&lt;TODAY(),"Vencido",IF(($H199-TODAY())&lt;='Entregas Próximas'!$M$3,"Próximo a vencer","En curso"))),"")</f>
      </c>
      <c r="K199" s="201">
        <f>IF($C199,$H199-TODAY(),"")</f>
      </c>
      <c r="L199" s="201">
        <f>IF($C199,$AD199*1000000+$H199+ROW()/100000,"")</f>
      </c>
      <c r="M199" s="201">
        <f>IF($C199,IF($AD199=9999,"(Sin sprint)",$AD199),"")</f>
      </c>
      <c r="N199" s="201">
        <f>IF($C199,IF('Proyecto Datos (OKR´s)'!$E199="",9999,'Proyecto Datos (OKR´s)'!$E199),"")</f>
      </c>
      <c r="O199" s="201">
        <f>IF($C199,"T"&amp;TEXT(ROW(),"000"),"")</f>
      </c>
      <c r="R199" s="201">
        <f>IF($C199,IF(ISNUMBER('Proyecto Datos (OKR´s)'!$L199),'Proyecto Datos (OKR´s)'!$L199,$H199),"")</f>
      </c>
      <c r="S199" s="201">
        <f>IF($C199,$R199-'Proyecto Datos (OKR´s)'!$K199+1,"")</f>
      </c>
      <c r="T199" s="201">
        <f>IF($C199,MAX(0,TODAY()-'Proyecto Datos (OKR´s)'!$K199),"")</f>
      </c>
      <c r="U199" s="201">
        <f>IF($C199,MEDIAN(0,(TODAY()-'Proyecto Datos (OKR´s)'!$K199)/MAX(1,$R199-'Proyecto Datos (OKR´s)'!$K199),1),"")</f>
      </c>
      <c r="V199" s="201">
        <f>IF($C199,$I199-$U199,"")</f>
      </c>
      <c r="W199" s="201">
        <f>IF($C199,IF($J199="Completado",0,MAX(0,TODAY()-$H199)),"")</f>
      </c>
      <c r="X199" s="201">
        <f>IF($C199,IF(ISNUMBER($H199),$R199-$H199,0),"")</f>
      </c>
      <c r="Y199" s="201">
        <f>IF($C199,COUNTIFS($G$7:$G$200,$G199,$J$7:$J$200,"&lt;&gt;Completado",$J$7:$J$200,"&lt;&gt;"),"")</f>
      </c>
      <c r="Z199" s="201">
        <f>IF($C199,AND($I199=0,'Proyecto Datos (OKR´s)'!$K199&lt;=TODAY(),$J199&lt;&gt;"Completado"),"")</f>
      </c>
      <c r="AA199" s="201">
        <f>IF($C199,ROUND(100*(0.35*$AK199+0.3*$AL199+0.2*$AM199+0.15*MEDIAN(0,($Y199-4)/8,1)),0),"")</f>
      </c>
      <c r="AB199" s="202">
        <f>IF($C199,IF($J199="Completado","—",IF($AA199&gt;=70,"Crítica",IF($AA199&gt;=45,"Alta",IF($AA199&gt;=25,"Media","Baja")))),"")</f>
      </c>
      <c r="AC199" s="202">
        <f>IF($C199,IF(LEN(TRIM($AN199))=0,"—",TRIM($AN199)),"")</f>
      </c>
      <c r="AD199" s="201">
        <f>IF($C199,IF($N199=9999,9999,IF($J199="Completado",$N199,MAX($N199,'Historial de Sprints'!$C$7))),"")</f>
      </c>
      <c r="AE199" s="201">
        <f>IF($C199,IF($AD199=9999,"(Sin sprint)",$AD199),"")</f>
      </c>
      <c r="AF199" s="201">
        <f>IF($C199,AND($N199&lt;&gt;9999,$AD199&lt;&gt;$N199),FALSE)</f>
      </c>
      <c r="AG199" s="201">
        <f>IF($AF199,'Historial de Sprints'!$C$5+$N199*'Historial de Sprints'!$C$6-1,"")</f>
      </c>
      <c r="AH199" s="202">
        <f>IF($AF199,"No completada al cierre del Sprint "&amp;$N199&amp;" -&gt; reasignada al Sprint "&amp;$AD199,"")</f>
      </c>
      <c r="AI199" s="201">
        <f>IF($AF199,$N199*100000+ROW(),"")</f>
      </c>
      <c r="AJ199" s="201">
        <f>IF($C199,$AA199*1000000-MEDIAN(-9999,$K199,9999)*100+(300-ROW()),"")</f>
      </c>
      <c r="AK199" s="201">
        <f>IF($C199,IF($J199="Completado",0,IF($K199&lt;0,1,IF($K199&lt;=3,0.9,IF($K199&lt;=7,0.7,IF($K199&lt;=14,0.45,0.2))))),"")</f>
      </c>
      <c r="AL199" s="201">
        <f>IF($C199,IF($J199="Completado",0,MEDIAN(0,MAX(-$V199,$W199/30),1)),"")</f>
      </c>
      <c r="AM199" s="201">
        <f>IF($C199,IF($J199="Completado",0,IF($Z199,1,IF(AND($I199&lt;0.5,$K199&lt;=7),0.7,0.3))),"")</f>
      </c>
      <c r="AN199" s="202">
        <f>IF($C199,IF(OR($V199&lt;-0.2,$W199&gt;0),"ATRASO ","")&amp;IF($Z199,"BLOQUEO ","")&amp;IF($Y199&gt;8,"SOBRECARGA ","")&amp;IF($X199&gt;0,"DESVÍO-PLAN ",""),"")</f>
      </c>
    </row>
    <row r="200">
      <c r="A200" s="201">
        <f>ROW()</f>
      </c>
      <c r="B200" s="201">
        <f>ISTEXT('Proyecto Datos (OKR´s)'!$K200)</f>
      </c>
      <c r="C200" s="201">
        <f>AND(LEN('Proyecto Datos (OKR´s)'!$G200)&gt;0,NOT($B200),OR(ISNUMBER('Proyecto Datos (OKR´s)'!$F200),ISNUMBER('Proyecto Datos (OKR´s)'!$L200)))</f>
      </c>
      <c r="D200" s="202">
        <f>IF($C200,IFERROR(LOOKUP(2,1/((ISTEXT('Proyecto Datos (OKR´s)'!$K$7:$K200))*(LEN('Proyecto Datos (OKR´s)'!$G$7:$G200)&gt;0)),'Proyecto Datos (OKR´s)'!$G$7:$G200),""),"")</f>
      </c>
      <c r="E200" s="201">
        <f>IF($C200,'Proyecto Datos (OKR´s)'!$E200,"")</f>
      </c>
      <c r="F200" s="202">
        <f>IF($C200,'Proyecto Datos (OKR´s)'!$G200,"")</f>
      </c>
      <c r="G200" s="202">
        <f>IF($C200,IF('Proyecto Datos (OKR´s)'!$I200="","(Sin asignar)",'Proyecto Datos (OKR´s)'!$I200),"")</f>
      </c>
      <c r="H200" s="201">
        <f>IF($C200,IF(ISNUMBER('Proyecto Datos (OKR´s)'!$F200),'Proyecto Datos (OKR´s)'!$F200,'Proyecto Datos (OKR´s)'!$L200),"")</f>
      </c>
      <c r="I200" s="201">
        <f>IF($C200,'Proyecto Datos (OKR´s)'!$J200,"")</f>
      </c>
      <c r="J200" s="202">
        <f>IF($C200,IF($I200&gt;=1,"Completado",IF($H200&lt;TODAY(),"Vencido",IF(($H200-TODAY())&lt;='Entregas Próximas'!$M$3,"Próximo a vencer","En curso"))),"")</f>
      </c>
      <c r="K200" s="201">
        <f>IF($C200,$H200-TODAY(),"")</f>
      </c>
      <c r="L200" s="201">
        <f>IF($C200,$AD200*1000000+$H200+ROW()/100000,"")</f>
      </c>
      <c r="M200" s="201">
        <f>IF($C200,IF($AD200=9999,"(Sin sprint)",$AD200),"")</f>
      </c>
      <c r="N200" s="201">
        <f>IF($C200,IF('Proyecto Datos (OKR´s)'!$E200="",9999,'Proyecto Datos (OKR´s)'!$E200),"")</f>
      </c>
      <c r="O200" s="201">
        <f>IF($C200,"T"&amp;TEXT(ROW(),"000"),"")</f>
      </c>
      <c r="R200" s="201">
        <f>IF($C200,IF(ISNUMBER('Proyecto Datos (OKR´s)'!$L200),'Proyecto Datos (OKR´s)'!$L200,$H200),"")</f>
      </c>
      <c r="S200" s="201">
        <f>IF($C200,$R200-'Proyecto Datos (OKR´s)'!$K200+1,"")</f>
      </c>
      <c r="T200" s="201">
        <f>IF($C200,MAX(0,TODAY()-'Proyecto Datos (OKR´s)'!$K200),"")</f>
      </c>
      <c r="U200" s="201">
        <f>IF($C200,MEDIAN(0,(TODAY()-'Proyecto Datos (OKR´s)'!$K200)/MAX(1,$R200-'Proyecto Datos (OKR´s)'!$K200),1),"")</f>
      </c>
      <c r="V200" s="201">
        <f>IF($C200,$I200-$U200,"")</f>
      </c>
      <c r="W200" s="201">
        <f>IF($C200,IF($J200="Completado",0,MAX(0,TODAY()-$H200)),"")</f>
      </c>
      <c r="X200" s="201">
        <f>IF($C200,IF(ISNUMBER($H200),$R200-$H200,0),"")</f>
      </c>
      <c r="Y200" s="201">
        <f>IF($C200,COUNTIFS($G$7:$G$200,$G200,$J$7:$J$200,"&lt;&gt;Completado",$J$7:$J$200,"&lt;&gt;"),"")</f>
      </c>
      <c r="Z200" s="201">
        <f>IF($C200,AND($I200=0,'Proyecto Datos (OKR´s)'!$K200&lt;=TODAY(),$J200&lt;&gt;"Completado"),"")</f>
      </c>
      <c r="AA200" s="201">
        <f>IF($C200,ROUND(100*(0.35*$AK200+0.3*$AL200+0.2*$AM200+0.15*MEDIAN(0,($Y200-4)/8,1)),0),"")</f>
      </c>
      <c r="AB200" s="202">
        <f>IF($C200,IF($J200="Completado","—",IF($AA200&gt;=70,"Crítica",IF($AA200&gt;=45,"Alta",IF($AA200&gt;=25,"Media","Baja")))),"")</f>
      </c>
      <c r="AC200" s="202">
        <f>IF($C200,IF(LEN(TRIM($AN200))=0,"—",TRIM($AN200)),"")</f>
      </c>
      <c r="AD200" s="201">
        <f>IF($C200,IF($N200=9999,9999,IF($J200="Completado",$N200,MAX($N200,'Historial de Sprints'!$C$7))),"")</f>
      </c>
      <c r="AE200" s="201">
        <f>IF($C200,IF($AD200=9999,"(Sin sprint)",$AD200),"")</f>
      </c>
      <c r="AF200" s="201">
        <f>IF($C200,AND($N200&lt;&gt;9999,$AD200&lt;&gt;$N200),FALSE)</f>
      </c>
      <c r="AG200" s="201">
        <f>IF($AF200,'Historial de Sprints'!$C$5+$N200*'Historial de Sprints'!$C$6-1,"")</f>
      </c>
      <c r="AH200" s="202">
        <f>IF($AF200,"No completada al cierre del Sprint "&amp;$N200&amp;" -&gt; reasignada al Sprint "&amp;$AD200,"")</f>
      </c>
      <c r="AI200" s="201">
        <f>IF($AF200,$N200*100000+ROW(),"")</f>
      </c>
      <c r="AJ200" s="201">
        <f>IF($C200,$AA200*1000000-MEDIAN(-9999,$K200,9999)*100+(300-ROW()),"")</f>
      </c>
      <c r="AK200" s="201">
        <f>IF($C200,IF($J200="Completado",0,IF($K200&lt;0,1,IF($K200&lt;=3,0.9,IF($K200&lt;=7,0.7,IF($K200&lt;=14,0.45,0.2))))),"")</f>
      </c>
      <c r="AL200" s="201">
        <f>IF($C200,IF($J200="Completado",0,MEDIAN(0,MAX(-$V200,$W200/30),1)),"")</f>
      </c>
      <c r="AM200" s="201">
        <f>IF($C200,IF($J200="Completado",0,IF($Z200,1,IF(AND($I200&lt;0.5,$K200&lt;=7),0.7,0.3))),"")</f>
      </c>
      <c r="AN200" s="202">
        <f>IF($C200,IF(OR($V200&lt;-0.2,$W200&gt;0),"ATRASO ","")&amp;IF($Z200,"BLOQUEO ","")&amp;IF($Y200&gt;8,"SOBRECARGA ","")&amp;IF($X200&gt;0,"DESVÍO-PLAN ",""),"")</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92"/>
  <sheetViews>
    <sheetView showGridLines="0" workbookViewId="0"/>
  </sheetViews>
  <sheetFormatPr defaultRowHeight="15"/>
  <cols>
    <col min="1" max="1" width="2.5" customWidth="1"/>
    <col min="2" max="2" width="26" customWidth="1"/>
    <col min="3" max="3" width="16" customWidth="1"/>
    <col min="4" max="4" width="46" customWidth="1"/>
    <col min="5" max="5" width="20" customWidth="1"/>
    <col min="6" max="7" width="14" customWidth="1"/>
    <col min="8" max="8" width="52" customWidth="1"/>
    <col min="10" max="10" width="9" hidden="1"/>
  </cols>
  <sheetData>
    <row r="1" ht="26" customHeight="1">
      <c r="B1" s="169" t="inlineStr">
        <is>
          <t xml:space="preserve">HISTORIAL Y AUTOMATIZACIÓN DE SPRINTS</t>
        </is>
      </c>
      <c r="C1" s="169"/>
      <c r="D1" s="169"/>
      <c r="E1" s="169"/>
      <c r="F1" s="169"/>
      <c r="G1" s="169"/>
      <c r="H1" s="169"/>
    </row>
    <row r="2" ht="16" customHeight="1">
      <c r="B2" s="170" t="inlineStr">
        <is>
          <t xml:space="preserve">Regla automática: al cerrar un sprint, las tareas no 'Completadas' se reasignan al sprint siguiente. El sprint original (columna Sprint del Gantt) se conserva como histórico.</t>
        </is>
      </c>
      <c r="C2" s="170"/>
      <c r="D2" s="170"/>
      <c r="E2" s="170"/>
      <c r="F2" s="170"/>
      <c r="G2" s="170"/>
      <c r="H2" s="170"/>
    </row>
    <row r="4">
      <c r="B4" s="172" t="inlineStr">
        <is>
          <t xml:space="preserve">CONFIGURACIÓN DE SPRINTS (editable)</t>
        </is>
      </c>
      <c r="C4" s="172"/>
      <c r="D4" s="172"/>
      <c r="E4" s="172"/>
      <c r="F4" s="172"/>
      <c r="G4" s="172"/>
      <c r="H4" s="172"/>
    </row>
    <row r="5">
      <c r="B5" s="175" t="inlineStr">
        <is>
          <t xml:space="preserve">Inicio del Sprint 1:</t>
        </is>
      </c>
      <c r="C5" s="192">
        <f>DATE(2026,6,2)</f>
      </c>
    </row>
    <row r="6">
      <c r="B6" s="175" t="inlineStr">
        <is>
          <t xml:space="preserve">Duración del sprint (días):</t>
        </is>
      </c>
      <c r="C6" s="191">
        <v>14</v>
      </c>
    </row>
    <row r="7">
      <c r="B7" s="175" t="inlineStr">
        <is>
          <t xml:space="preserve">Sprint actual (calculado):</t>
        </is>
      </c>
      <c r="C7" s="187">
        <f>MAX(1,INT((TODAY()-$C$5)/$C$6)+1)</f>
      </c>
    </row>
    <row r="8">
      <c r="B8" s="175" t="inlineStr">
        <is>
          <t xml:space="preserve">Fecha de hoy:</t>
        </is>
      </c>
      <c r="C8" s="190">
        <f>TODAY()</f>
      </c>
    </row>
    <row r="9">
      <c r="B9" s="176" t="inlineStr">
        <is>
          <t xml:space="preserve">Ajuste 'Inicio Sprint 1' y 'Duración' a su cadencia real. Con esta configuración, el Sprint N cierra el día (Inicio + N×Duración − 1).</t>
        </is>
      </c>
      <c r="C9" s="176"/>
      <c r="D9" s="176"/>
      <c r="E9" s="176"/>
      <c r="F9" s="176"/>
      <c r="G9" s="176"/>
      <c r="H9" s="176"/>
    </row>
    <row r="11">
      <c r="B11" s="172" t="inlineStr">
        <is>
          <t xml:space="preserve">MOVIMIENTOS ENTRE SPRINTS (automáticos)</t>
        </is>
      </c>
      <c r="C11" s="172"/>
      <c r="D11" s="172"/>
      <c r="E11" s="172"/>
      <c r="F11" s="172"/>
      <c r="G11" s="172"/>
      <c r="H11" s="172"/>
    </row>
    <row r="12">
      <c r="B12" s="173" t="inlineStr">
        <is>
          <t xml:space="preserve">ID</t>
        </is>
      </c>
      <c r="C12" s="173" t="inlineStr">
        <is>
          <t xml:space="preserve">Tarea</t>
        </is>
      </c>
      <c r="D12" s="173" t="inlineStr">
        <is>
          <t xml:space="preserve">Responsable</t>
        </is>
      </c>
      <c r="E12" s="173" t="inlineStr">
        <is>
          <t xml:space="preserve">Sprint origen</t>
        </is>
      </c>
      <c r="F12" s="173" t="inlineStr">
        <is>
          <t xml:space="preserve">Sprint destino</t>
        </is>
      </c>
      <c r="G12" s="173" t="inlineStr">
        <is>
          <t xml:space="preserve">Fecha movimiento</t>
        </is>
      </c>
      <c r="H12" s="173" t="inlineStr">
        <is>
          <t xml:space="preserve">Motivo del desvío</t>
        </is>
      </c>
    </row>
    <row r="13">
      <c r="B13" s="203">
        <f>IF($J13="","",INDEX('_Datos'!$O$7:$O$200,$J13))</f>
      </c>
      <c r="C13" s="204">
        <f>IF($J13="","",INDEX('_Datos'!$F$7:$F$200,$J13))</f>
      </c>
      <c r="D13" s="204">
        <f>IF($J13="","",INDEX('_Datos'!$G$7:$G$200,$J13))</f>
      </c>
      <c r="E13" s="203">
        <f>IF($J13="","",INDEX('_Datos'!$N$7:$N$200,$J13))</f>
      </c>
      <c r="F13" s="203">
        <f>IF($J13="","",INDEX('_Datos'!$AD$7:$AD$200,$J13))</f>
      </c>
      <c r="G13" s="205">
        <f>IF($J13="","",INDEX('_Datos'!$AG$7:$AG$200,$J13))</f>
      </c>
      <c r="H13" s="204">
        <f>IF($J13="","",INDEX('_Datos'!$AH$7:$AH$200,$J13))</f>
      </c>
      <c r="J13" s="201">
        <f>IFERROR(MATCH(SMALL('_Datos'!$AI$7:$AI$200,ROW()-13+1),'_Datos'!$AI$7:$AI$200,0),"")</f>
      </c>
    </row>
    <row r="14">
      <c r="B14" s="203">
        <f>IF($J14="","",INDEX('_Datos'!$O$7:$O$200,$J14))</f>
      </c>
      <c r="C14" s="204">
        <f>IF($J14="","",INDEX('_Datos'!$F$7:$F$200,$J14))</f>
      </c>
      <c r="D14" s="204">
        <f>IF($J14="","",INDEX('_Datos'!$G$7:$G$200,$J14))</f>
      </c>
      <c r="E14" s="203">
        <f>IF($J14="","",INDEX('_Datos'!$N$7:$N$200,$J14))</f>
      </c>
      <c r="F14" s="203">
        <f>IF($J14="","",INDEX('_Datos'!$AD$7:$AD$200,$J14))</f>
      </c>
      <c r="G14" s="205">
        <f>IF($J14="","",INDEX('_Datos'!$AG$7:$AG$200,$J14))</f>
      </c>
      <c r="H14" s="204">
        <f>IF($J14="","",INDEX('_Datos'!$AH$7:$AH$200,$J14))</f>
      </c>
      <c r="J14" s="201">
        <f>IFERROR(MATCH(SMALL('_Datos'!$AI$7:$AI$200,ROW()-13+1),'_Datos'!$AI$7:$AI$200,0),"")</f>
      </c>
    </row>
    <row r="15">
      <c r="B15" s="203">
        <f>IF($J15="","",INDEX('_Datos'!$O$7:$O$200,$J15))</f>
      </c>
      <c r="C15" s="204">
        <f>IF($J15="","",INDEX('_Datos'!$F$7:$F$200,$J15))</f>
      </c>
      <c r="D15" s="204">
        <f>IF($J15="","",INDEX('_Datos'!$G$7:$G$200,$J15))</f>
      </c>
      <c r="E15" s="203">
        <f>IF($J15="","",INDEX('_Datos'!$N$7:$N$200,$J15))</f>
      </c>
      <c r="F15" s="203">
        <f>IF($J15="","",INDEX('_Datos'!$AD$7:$AD$200,$J15))</f>
      </c>
      <c r="G15" s="205">
        <f>IF($J15="","",INDEX('_Datos'!$AG$7:$AG$200,$J15))</f>
      </c>
      <c r="H15" s="204">
        <f>IF($J15="","",INDEX('_Datos'!$AH$7:$AH$200,$J15))</f>
      </c>
      <c r="J15" s="201">
        <f>IFERROR(MATCH(SMALL('_Datos'!$AI$7:$AI$200,ROW()-13+1),'_Datos'!$AI$7:$AI$200,0),"")</f>
      </c>
    </row>
    <row r="16">
      <c r="B16" s="203">
        <f>IF($J16="","",INDEX('_Datos'!$O$7:$O$200,$J16))</f>
      </c>
      <c r="C16" s="204">
        <f>IF($J16="","",INDEX('_Datos'!$F$7:$F$200,$J16))</f>
      </c>
      <c r="D16" s="204">
        <f>IF($J16="","",INDEX('_Datos'!$G$7:$G$200,$J16))</f>
      </c>
      <c r="E16" s="203">
        <f>IF($J16="","",INDEX('_Datos'!$N$7:$N$200,$J16))</f>
      </c>
      <c r="F16" s="203">
        <f>IF($J16="","",INDEX('_Datos'!$AD$7:$AD$200,$J16))</f>
      </c>
      <c r="G16" s="205">
        <f>IF($J16="","",INDEX('_Datos'!$AG$7:$AG$200,$J16))</f>
      </c>
      <c r="H16" s="204">
        <f>IF($J16="","",INDEX('_Datos'!$AH$7:$AH$200,$J16))</f>
      </c>
      <c r="J16" s="201">
        <f>IFERROR(MATCH(SMALL('_Datos'!$AI$7:$AI$200,ROW()-13+1),'_Datos'!$AI$7:$AI$200,0),"")</f>
      </c>
    </row>
    <row r="17">
      <c r="B17" s="203">
        <f>IF($J17="","",INDEX('_Datos'!$O$7:$O$200,$J17))</f>
      </c>
      <c r="C17" s="204">
        <f>IF($J17="","",INDEX('_Datos'!$F$7:$F$200,$J17))</f>
      </c>
      <c r="D17" s="204">
        <f>IF($J17="","",INDEX('_Datos'!$G$7:$G$200,$J17))</f>
      </c>
      <c r="E17" s="203">
        <f>IF($J17="","",INDEX('_Datos'!$N$7:$N$200,$J17))</f>
      </c>
      <c r="F17" s="203">
        <f>IF($J17="","",INDEX('_Datos'!$AD$7:$AD$200,$J17))</f>
      </c>
      <c r="G17" s="205">
        <f>IF($J17="","",INDEX('_Datos'!$AG$7:$AG$200,$J17))</f>
      </c>
      <c r="H17" s="204">
        <f>IF($J17="","",INDEX('_Datos'!$AH$7:$AH$200,$J17))</f>
      </c>
      <c r="J17" s="201">
        <f>IFERROR(MATCH(SMALL('_Datos'!$AI$7:$AI$200,ROW()-13+1),'_Datos'!$AI$7:$AI$200,0),"")</f>
      </c>
    </row>
    <row r="18">
      <c r="B18" s="203">
        <f>IF($J18="","",INDEX('_Datos'!$O$7:$O$200,$J18))</f>
      </c>
      <c r="C18" s="204">
        <f>IF($J18="","",INDEX('_Datos'!$F$7:$F$200,$J18))</f>
      </c>
      <c r="D18" s="204">
        <f>IF($J18="","",INDEX('_Datos'!$G$7:$G$200,$J18))</f>
      </c>
      <c r="E18" s="203">
        <f>IF($J18="","",INDEX('_Datos'!$N$7:$N$200,$J18))</f>
      </c>
      <c r="F18" s="203">
        <f>IF($J18="","",INDEX('_Datos'!$AD$7:$AD$200,$J18))</f>
      </c>
      <c r="G18" s="205">
        <f>IF($J18="","",INDEX('_Datos'!$AG$7:$AG$200,$J18))</f>
      </c>
      <c r="H18" s="204">
        <f>IF($J18="","",INDEX('_Datos'!$AH$7:$AH$200,$J18))</f>
      </c>
      <c r="J18" s="201">
        <f>IFERROR(MATCH(SMALL('_Datos'!$AI$7:$AI$200,ROW()-13+1),'_Datos'!$AI$7:$AI$200,0),"")</f>
      </c>
    </row>
    <row r="19">
      <c r="B19" s="203">
        <f>IF($J19="","",INDEX('_Datos'!$O$7:$O$200,$J19))</f>
      </c>
      <c r="C19" s="204">
        <f>IF($J19="","",INDEX('_Datos'!$F$7:$F$200,$J19))</f>
      </c>
      <c r="D19" s="204">
        <f>IF($J19="","",INDEX('_Datos'!$G$7:$G$200,$J19))</f>
      </c>
      <c r="E19" s="203">
        <f>IF($J19="","",INDEX('_Datos'!$N$7:$N$200,$J19))</f>
      </c>
      <c r="F19" s="203">
        <f>IF($J19="","",INDEX('_Datos'!$AD$7:$AD$200,$J19))</f>
      </c>
      <c r="G19" s="205">
        <f>IF($J19="","",INDEX('_Datos'!$AG$7:$AG$200,$J19))</f>
      </c>
      <c r="H19" s="204">
        <f>IF($J19="","",INDEX('_Datos'!$AH$7:$AH$200,$J19))</f>
      </c>
      <c r="J19" s="201">
        <f>IFERROR(MATCH(SMALL('_Datos'!$AI$7:$AI$200,ROW()-13+1),'_Datos'!$AI$7:$AI$200,0),"")</f>
      </c>
    </row>
    <row r="20">
      <c r="B20" s="203">
        <f>IF($J20="","",INDEX('_Datos'!$O$7:$O$200,$J20))</f>
      </c>
      <c r="C20" s="204">
        <f>IF($J20="","",INDEX('_Datos'!$F$7:$F$200,$J20))</f>
      </c>
      <c r="D20" s="204">
        <f>IF($J20="","",INDEX('_Datos'!$G$7:$G$200,$J20))</f>
      </c>
      <c r="E20" s="203">
        <f>IF($J20="","",INDEX('_Datos'!$N$7:$N$200,$J20))</f>
      </c>
      <c r="F20" s="203">
        <f>IF($J20="","",INDEX('_Datos'!$AD$7:$AD$200,$J20))</f>
      </c>
      <c r="G20" s="205">
        <f>IF($J20="","",INDEX('_Datos'!$AG$7:$AG$200,$J20))</f>
      </c>
      <c r="H20" s="204">
        <f>IF($J20="","",INDEX('_Datos'!$AH$7:$AH$200,$J20))</f>
      </c>
      <c r="J20" s="201">
        <f>IFERROR(MATCH(SMALL('_Datos'!$AI$7:$AI$200,ROW()-13+1),'_Datos'!$AI$7:$AI$200,0),"")</f>
      </c>
    </row>
    <row r="21">
      <c r="B21" s="203">
        <f>IF($J21="","",INDEX('_Datos'!$O$7:$O$200,$J21))</f>
      </c>
      <c r="C21" s="204">
        <f>IF($J21="","",INDEX('_Datos'!$F$7:$F$200,$J21))</f>
      </c>
      <c r="D21" s="204">
        <f>IF($J21="","",INDEX('_Datos'!$G$7:$G$200,$J21))</f>
      </c>
      <c r="E21" s="203">
        <f>IF($J21="","",INDEX('_Datos'!$N$7:$N$200,$J21))</f>
      </c>
      <c r="F21" s="203">
        <f>IF($J21="","",INDEX('_Datos'!$AD$7:$AD$200,$J21))</f>
      </c>
      <c r="G21" s="205">
        <f>IF($J21="","",INDEX('_Datos'!$AG$7:$AG$200,$J21))</f>
      </c>
      <c r="H21" s="204">
        <f>IF($J21="","",INDEX('_Datos'!$AH$7:$AH$200,$J21))</f>
      </c>
      <c r="J21" s="201">
        <f>IFERROR(MATCH(SMALL('_Datos'!$AI$7:$AI$200,ROW()-13+1),'_Datos'!$AI$7:$AI$200,0),"")</f>
      </c>
    </row>
    <row r="22">
      <c r="B22" s="203">
        <f>IF($J22="","",INDEX('_Datos'!$O$7:$O$200,$J22))</f>
      </c>
      <c r="C22" s="204">
        <f>IF($J22="","",INDEX('_Datos'!$F$7:$F$200,$J22))</f>
      </c>
      <c r="D22" s="204">
        <f>IF($J22="","",INDEX('_Datos'!$G$7:$G$200,$J22))</f>
      </c>
      <c r="E22" s="203">
        <f>IF($J22="","",INDEX('_Datos'!$N$7:$N$200,$J22))</f>
      </c>
      <c r="F22" s="203">
        <f>IF($J22="","",INDEX('_Datos'!$AD$7:$AD$200,$J22))</f>
      </c>
      <c r="G22" s="205">
        <f>IF($J22="","",INDEX('_Datos'!$AG$7:$AG$200,$J22))</f>
      </c>
      <c r="H22" s="204">
        <f>IF($J22="","",INDEX('_Datos'!$AH$7:$AH$200,$J22))</f>
      </c>
      <c r="J22" s="201">
        <f>IFERROR(MATCH(SMALL('_Datos'!$AI$7:$AI$200,ROW()-13+1),'_Datos'!$AI$7:$AI$200,0),"")</f>
      </c>
    </row>
    <row r="23">
      <c r="B23" s="203">
        <f>IF($J23="","",INDEX('_Datos'!$O$7:$O$200,$J23))</f>
      </c>
      <c r="C23" s="204">
        <f>IF($J23="","",INDEX('_Datos'!$F$7:$F$200,$J23))</f>
      </c>
      <c r="D23" s="204">
        <f>IF($J23="","",INDEX('_Datos'!$G$7:$G$200,$J23))</f>
      </c>
      <c r="E23" s="203">
        <f>IF($J23="","",INDEX('_Datos'!$N$7:$N$200,$J23))</f>
      </c>
      <c r="F23" s="203">
        <f>IF($J23="","",INDEX('_Datos'!$AD$7:$AD$200,$J23))</f>
      </c>
      <c r="G23" s="205">
        <f>IF($J23="","",INDEX('_Datos'!$AG$7:$AG$200,$J23))</f>
      </c>
      <c r="H23" s="204">
        <f>IF($J23="","",INDEX('_Datos'!$AH$7:$AH$200,$J23))</f>
      </c>
      <c r="J23" s="201">
        <f>IFERROR(MATCH(SMALL('_Datos'!$AI$7:$AI$200,ROW()-13+1),'_Datos'!$AI$7:$AI$200,0),"")</f>
      </c>
    </row>
    <row r="24">
      <c r="B24" s="203">
        <f>IF($J24="","",INDEX('_Datos'!$O$7:$O$200,$J24))</f>
      </c>
      <c r="C24" s="204">
        <f>IF($J24="","",INDEX('_Datos'!$F$7:$F$200,$J24))</f>
      </c>
      <c r="D24" s="204">
        <f>IF($J24="","",INDEX('_Datos'!$G$7:$G$200,$J24))</f>
      </c>
      <c r="E24" s="203">
        <f>IF($J24="","",INDEX('_Datos'!$N$7:$N$200,$J24))</f>
      </c>
      <c r="F24" s="203">
        <f>IF($J24="","",INDEX('_Datos'!$AD$7:$AD$200,$J24))</f>
      </c>
      <c r="G24" s="205">
        <f>IF($J24="","",INDEX('_Datos'!$AG$7:$AG$200,$J24))</f>
      </c>
      <c r="H24" s="204">
        <f>IF($J24="","",INDEX('_Datos'!$AH$7:$AH$200,$J24))</f>
      </c>
      <c r="J24" s="201">
        <f>IFERROR(MATCH(SMALL('_Datos'!$AI$7:$AI$200,ROW()-13+1),'_Datos'!$AI$7:$AI$200,0),"")</f>
      </c>
    </row>
    <row r="25">
      <c r="B25" s="203">
        <f>IF($J25="","",INDEX('_Datos'!$O$7:$O$200,$J25))</f>
      </c>
      <c r="C25" s="204">
        <f>IF($J25="","",INDEX('_Datos'!$F$7:$F$200,$J25))</f>
      </c>
      <c r="D25" s="204">
        <f>IF($J25="","",INDEX('_Datos'!$G$7:$G$200,$J25))</f>
      </c>
      <c r="E25" s="203">
        <f>IF($J25="","",INDEX('_Datos'!$N$7:$N$200,$J25))</f>
      </c>
      <c r="F25" s="203">
        <f>IF($J25="","",INDEX('_Datos'!$AD$7:$AD$200,$J25))</f>
      </c>
      <c r="G25" s="205">
        <f>IF($J25="","",INDEX('_Datos'!$AG$7:$AG$200,$J25))</f>
      </c>
      <c r="H25" s="204">
        <f>IF($J25="","",INDEX('_Datos'!$AH$7:$AH$200,$J25))</f>
      </c>
      <c r="J25" s="201">
        <f>IFERROR(MATCH(SMALL('_Datos'!$AI$7:$AI$200,ROW()-13+1),'_Datos'!$AI$7:$AI$200,0),"")</f>
      </c>
    </row>
    <row r="26">
      <c r="B26" s="203">
        <f>IF($J26="","",INDEX('_Datos'!$O$7:$O$200,$J26))</f>
      </c>
      <c r="C26" s="204">
        <f>IF($J26="","",INDEX('_Datos'!$F$7:$F$200,$J26))</f>
      </c>
      <c r="D26" s="204">
        <f>IF($J26="","",INDEX('_Datos'!$G$7:$G$200,$J26))</f>
      </c>
      <c r="E26" s="203">
        <f>IF($J26="","",INDEX('_Datos'!$N$7:$N$200,$J26))</f>
      </c>
      <c r="F26" s="203">
        <f>IF($J26="","",INDEX('_Datos'!$AD$7:$AD$200,$J26))</f>
      </c>
      <c r="G26" s="205">
        <f>IF($J26="","",INDEX('_Datos'!$AG$7:$AG$200,$J26))</f>
      </c>
      <c r="H26" s="204">
        <f>IF($J26="","",INDEX('_Datos'!$AH$7:$AH$200,$J26))</f>
      </c>
      <c r="J26" s="201">
        <f>IFERROR(MATCH(SMALL('_Datos'!$AI$7:$AI$200,ROW()-13+1),'_Datos'!$AI$7:$AI$200,0),"")</f>
      </c>
    </row>
    <row r="27">
      <c r="B27" s="203">
        <f>IF($J27="","",INDEX('_Datos'!$O$7:$O$200,$J27))</f>
      </c>
      <c r="C27" s="204">
        <f>IF($J27="","",INDEX('_Datos'!$F$7:$F$200,$J27))</f>
      </c>
      <c r="D27" s="204">
        <f>IF($J27="","",INDEX('_Datos'!$G$7:$G$200,$J27))</f>
      </c>
      <c r="E27" s="203">
        <f>IF($J27="","",INDEX('_Datos'!$N$7:$N$200,$J27))</f>
      </c>
      <c r="F27" s="203">
        <f>IF($J27="","",INDEX('_Datos'!$AD$7:$AD$200,$J27))</f>
      </c>
      <c r="G27" s="205">
        <f>IF($J27="","",INDEX('_Datos'!$AG$7:$AG$200,$J27))</f>
      </c>
      <c r="H27" s="204">
        <f>IF($J27="","",INDEX('_Datos'!$AH$7:$AH$200,$J27))</f>
      </c>
      <c r="J27" s="201">
        <f>IFERROR(MATCH(SMALL('_Datos'!$AI$7:$AI$200,ROW()-13+1),'_Datos'!$AI$7:$AI$200,0),"")</f>
      </c>
    </row>
    <row r="28">
      <c r="B28" s="203">
        <f>IF($J28="","",INDEX('_Datos'!$O$7:$O$200,$J28))</f>
      </c>
      <c r="C28" s="204">
        <f>IF($J28="","",INDEX('_Datos'!$F$7:$F$200,$J28))</f>
      </c>
      <c r="D28" s="204">
        <f>IF($J28="","",INDEX('_Datos'!$G$7:$G$200,$J28))</f>
      </c>
      <c r="E28" s="203">
        <f>IF($J28="","",INDEX('_Datos'!$N$7:$N$200,$J28))</f>
      </c>
      <c r="F28" s="203">
        <f>IF($J28="","",INDEX('_Datos'!$AD$7:$AD$200,$J28))</f>
      </c>
      <c r="G28" s="205">
        <f>IF($J28="","",INDEX('_Datos'!$AG$7:$AG$200,$J28))</f>
      </c>
      <c r="H28" s="204">
        <f>IF($J28="","",INDEX('_Datos'!$AH$7:$AH$200,$J28))</f>
      </c>
      <c r="J28" s="201">
        <f>IFERROR(MATCH(SMALL('_Datos'!$AI$7:$AI$200,ROW()-13+1),'_Datos'!$AI$7:$AI$200,0),"")</f>
      </c>
    </row>
    <row r="29">
      <c r="B29" s="203">
        <f>IF($J29="","",INDEX('_Datos'!$O$7:$O$200,$J29))</f>
      </c>
      <c r="C29" s="204">
        <f>IF($J29="","",INDEX('_Datos'!$F$7:$F$200,$J29))</f>
      </c>
      <c r="D29" s="204">
        <f>IF($J29="","",INDEX('_Datos'!$G$7:$G$200,$J29))</f>
      </c>
      <c r="E29" s="203">
        <f>IF($J29="","",INDEX('_Datos'!$N$7:$N$200,$J29))</f>
      </c>
      <c r="F29" s="203">
        <f>IF($J29="","",INDEX('_Datos'!$AD$7:$AD$200,$J29))</f>
      </c>
      <c r="G29" s="205">
        <f>IF($J29="","",INDEX('_Datos'!$AG$7:$AG$200,$J29))</f>
      </c>
      <c r="H29" s="204">
        <f>IF($J29="","",INDEX('_Datos'!$AH$7:$AH$200,$J29))</f>
      </c>
      <c r="J29" s="201">
        <f>IFERROR(MATCH(SMALL('_Datos'!$AI$7:$AI$200,ROW()-13+1),'_Datos'!$AI$7:$AI$200,0),"")</f>
      </c>
    </row>
    <row r="30">
      <c r="B30" s="203">
        <f>IF($J30="","",INDEX('_Datos'!$O$7:$O$200,$J30))</f>
      </c>
      <c r="C30" s="204">
        <f>IF($J30="","",INDEX('_Datos'!$F$7:$F$200,$J30))</f>
      </c>
      <c r="D30" s="204">
        <f>IF($J30="","",INDEX('_Datos'!$G$7:$G$200,$J30))</f>
      </c>
      <c r="E30" s="203">
        <f>IF($J30="","",INDEX('_Datos'!$N$7:$N$200,$J30))</f>
      </c>
      <c r="F30" s="203">
        <f>IF($J30="","",INDEX('_Datos'!$AD$7:$AD$200,$J30))</f>
      </c>
      <c r="G30" s="205">
        <f>IF($J30="","",INDEX('_Datos'!$AG$7:$AG$200,$J30))</f>
      </c>
      <c r="H30" s="204">
        <f>IF($J30="","",INDEX('_Datos'!$AH$7:$AH$200,$J30))</f>
      </c>
      <c r="J30" s="201">
        <f>IFERROR(MATCH(SMALL('_Datos'!$AI$7:$AI$200,ROW()-13+1),'_Datos'!$AI$7:$AI$200,0),"")</f>
      </c>
    </row>
    <row r="31">
      <c r="B31" s="203">
        <f>IF($J31="","",INDEX('_Datos'!$O$7:$O$200,$J31))</f>
      </c>
      <c r="C31" s="204">
        <f>IF($J31="","",INDEX('_Datos'!$F$7:$F$200,$J31))</f>
      </c>
      <c r="D31" s="204">
        <f>IF($J31="","",INDEX('_Datos'!$G$7:$G$200,$J31))</f>
      </c>
      <c r="E31" s="203">
        <f>IF($J31="","",INDEX('_Datos'!$N$7:$N$200,$J31))</f>
      </c>
      <c r="F31" s="203">
        <f>IF($J31="","",INDEX('_Datos'!$AD$7:$AD$200,$J31))</f>
      </c>
      <c r="G31" s="205">
        <f>IF($J31="","",INDEX('_Datos'!$AG$7:$AG$200,$J31))</f>
      </c>
      <c r="H31" s="204">
        <f>IF($J31="","",INDEX('_Datos'!$AH$7:$AH$200,$J31))</f>
      </c>
      <c r="J31" s="201">
        <f>IFERROR(MATCH(SMALL('_Datos'!$AI$7:$AI$200,ROW()-13+1),'_Datos'!$AI$7:$AI$200,0),"")</f>
      </c>
    </row>
    <row r="32">
      <c r="B32" s="203">
        <f>IF($J32="","",INDEX('_Datos'!$O$7:$O$200,$J32))</f>
      </c>
      <c r="C32" s="204">
        <f>IF($J32="","",INDEX('_Datos'!$F$7:$F$200,$J32))</f>
      </c>
      <c r="D32" s="204">
        <f>IF($J32="","",INDEX('_Datos'!$G$7:$G$200,$J32))</f>
      </c>
      <c r="E32" s="203">
        <f>IF($J32="","",INDEX('_Datos'!$N$7:$N$200,$J32))</f>
      </c>
      <c r="F32" s="203">
        <f>IF($J32="","",INDEX('_Datos'!$AD$7:$AD$200,$J32))</f>
      </c>
      <c r="G32" s="205">
        <f>IF($J32="","",INDEX('_Datos'!$AG$7:$AG$200,$J32))</f>
      </c>
      <c r="H32" s="204">
        <f>IF($J32="","",INDEX('_Datos'!$AH$7:$AH$200,$J32))</f>
      </c>
      <c r="J32" s="201">
        <f>IFERROR(MATCH(SMALL('_Datos'!$AI$7:$AI$200,ROW()-13+1),'_Datos'!$AI$7:$AI$200,0),"")</f>
      </c>
    </row>
    <row r="33">
      <c r="B33" s="203">
        <f>IF($J33="","",INDEX('_Datos'!$O$7:$O$200,$J33))</f>
      </c>
      <c r="C33" s="204">
        <f>IF($J33="","",INDEX('_Datos'!$F$7:$F$200,$J33))</f>
      </c>
      <c r="D33" s="204">
        <f>IF($J33="","",INDEX('_Datos'!$G$7:$G$200,$J33))</f>
      </c>
      <c r="E33" s="203">
        <f>IF($J33="","",INDEX('_Datos'!$N$7:$N$200,$J33))</f>
      </c>
      <c r="F33" s="203">
        <f>IF($J33="","",INDEX('_Datos'!$AD$7:$AD$200,$J33))</f>
      </c>
      <c r="G33" s="205">
        <f>IF($J33="","",INDEX('_Datos'!$AG$7:$AG$200,$J33))</f>
      </c>
      <c r="H33" s="204">
        <f>IF($J33="","",INDEX('_Datos'!$AH$7:$AH$200,$J33))</f>
      </c>
      <c r="J33" s="201">
        <f>IFERROR(MATCH(SMALL('_Datos'!$AI$7:$AI$200,ROW()-13+1),'_Datos'!$AI$7:$AI$200,0),"")</f>
      </c>
    </row>
    <row r="34">
      <c r="B34" s="203">
        <f>IF($J34="","",INDEX('_Datos'!$O$7:$O$200,$J34))</f>
      </c>
      <c r="C34" s="204">
        <f>IF($J34="","",INDEX('_Datos'!$F$7:$F$200,$J34))</f>
      </c>
      <c r="D34" s="204">
        <f>IF($J34="","",INDEX('_Datos'!$G$7:$G$200,$J34))</f>
      </c>
      <c r="E34" s="203">
        <f>IF($J34="","",INDEX('_Datos'!$N$7:$N$200,$J34))</f>
      </c>
      <c r="F34" s="203">
        <f>IF($J34="","",INDEX('_Datos'!$AD$7:$AD$200,$J34))</f>
      </c>
      <c r="G34" s="205">
        <f>IF($J34="","",INDEX('_Datos'!$AG$7:$AG$200,$J34))</f>
      </c>
      <c r="H34" s="204">
        <f>IF($J34="","",INDEX('_Datos'!$AH$7:$AH$200,$J34))</f>
      </c>
      <c r="J34" s="201">
        <f>IFERROR(MATCH(SMALL('_Datos'!$AI$7:$AI$200,ROW()-13+1),'_Datos'!$AI$7:$AI$200,0),"")</f>
      </c>
    </row>
    <row r="35">
      <c r="B35" s="203">
        <f>IF($J35="","",INDEX('_Datos'!$O$7:$O$200,$J35))</f>
      </c>
      <c r="C35" s="204">
        <f>IF($J35="","",INDEX('_Datos'!$F$7:$F$200,$J35))</f>
      </c>
      <c r="D35" s="204">
        <f>IF($J35="","",INDEX('_Datos'!$G$7:$G$200,$J35))</f>
      </c>
      <c r="E35" s="203">
        <f>IF($J35="","",INDEX('_Datos'!$N$7:$N$200,$J35))</f>
      </c>
      <c r="F35" s="203">
        <f>IF($J35="","",INDEX('_Datos'!$AD$7:$AD$200,$J35))</f>
      </c>
      <c r="G35" s="205">
        <f>IF($J35="","",INDEX('_Datos'!$AG$7:$AG$200,$J35))</f>
      </c>
      <c r="H35" s="204">
        <f>IF($J35="","",INDEX('_Datos'!$AH$7:$AH$200,$J35))</f>
      </c>
      <c r="J35" s="201">
        <f>IFERROR(MATCH(SMALL('_Datos'!$AI$7:$AI$200,ROW()-13+1),'_Datos'!$AI$7:$AI$200,0),"")</f>
      </c>
    </row>
    <row r="36">
      <c r="B36" s="203">
        <f>IF($J36="","",INDEX('_Datos'!$O$7:$O$200,$J36))</f>
      </c>
      <c r="C36" s="204">
        <f>IF($J36="","",INDEX('_Datos'!$F$7:$F$200,$J36))</f>
      </c>
      <c r="D36" s="204">
        <f>IF($J36="","",INDEX('_Datos'!$G$7:$G$200,$J36))</f>
      </c>
      <c r="E36" s="203">
        <f>IF($J36="","",INDEX('_Datos'!$N$7:$N$200,$J36))</f>
      </c>
      <c r="F36" s="203">
        <f>IF($J36="","",INDEX('_Datos'!$AD$7:$AD$200,$J36))</f>
      </c>
      <c r="G36" s="205">
        <f>IF($J36="","",INDEX('_Datos'!$AG$7:$AG$200,$J36))</f>
      </c>
      <c r="H36" s="204">
        <f>IF($J36="","",INDEX('_Datos'!$AH$7:$AH$200,$J36))</f>
      </c>
      <c r="J36" s="201">
        <f>IFERROR(MATCH(SMALL('_Datos'!$AI$7:$AI$200,ROW()-13+1),'_Datos'!$AI$7:$AI$200,0),"")</f>
      </c>
    </row>
    <row r="37">
      <c r="B37" s="203">
        <f>IF($J37="","",INDEX('_Datos'!$O$7:$O$200,$J37))</f>
      </c>
      <c r="C37" s="204">
        <f>IF($J37="","",INDEX('_Datos'!$F$7:$F$200,$J37))</f>
      </c>
      <c r="D37" s="204">
        <f>IF($J37="","",INDEX('_Datos'!$G$7:$G$200,$J37))</f>
      </c>
      <c r="E37" s="203">
        <f>IF($J37="","",INDEX('_Datos'!$N$7:$N$200,$J37))</f>
      </c>
      <c r="F37" s="203">
        <f>IF($J37="","",INDEX('_Datos'!$AD$7:$AD$200,$J37))</f>
      </c>
      <c r="G37" s="205">
        <f>IF($J37="","",INDEX('_Datos'!$AG$7:$AG$200,$J37))</f>
      </c>
      <c r="H37" s="204">
        <f>IF($J37="","",INDEX('_Datos'!$AH$7:$AH$200,$J37))</f>
      </c>
      <c r="J37" s="201">
        <f>IFERROR(MATCH(SMALL('_Datos'!$AI$7:$AI$200,ROW()-13+1),'_Datos'!$AI$7:$AI$200,0),"")</f>
      </c>
    </row>
    <row r="38">
      <c r="B38" s="203">
        <f>IF($J38="","",INDEX('_Datos'!$O$7:$O$200,$J38))</f>
      </c>
      <c r="C38" s="204">
        <f>IF($J38="","",INDEX('_Datos'!$F$7:$F$200,$J38))</f>
      </c>
      <c r="D38" s="204">
        <f>IF($J38="","",INDEX('_Datos'!$G$7:$G$200,$J38))</f>
      </c>
      <c r="E38" s="203">
        <f>IF($J38="","",INDEX('_Datos'!$N$7:$N$200,$J38))</f>
      </c>
      <c r="F38" s="203">
        <f>IF($J38="","",INDEX('_Datos'!$AD$7:$AD$200,$J38))</f>
      </c>
      <c r="G38" s="205">
        <f>IF($J38="","",INDEX('_Datos'!$AG$7:$AG$200,$J38))</f>
      </c>
      <c r="H38" s="204">
        <f>IF($J38="","",INDEX('_Datos'!$AH$7:$AH$200,$J38))</f>
      </c>
      <c r="J38" s="201">
        <f>IFERROR(MATCH(SMALL('_Datos'!$AI$7:$AI$200,ROW()-13+1),'_Datos'!$AI$7:$AI$200,0),"")</f>
      </c>
    </row>
    <row r="39">
      <c r="B39" s="203">
        <f>IF($J39="","",INDEX('_Datos'!$O$7:$O$200,$J39))</f>
      </c>
      <c r="C39" s="204">
        <f>IF($J39="","",INDEX('_Datos'!$F$7:$F$200,$J39))</f>
      </c>
      <c r="D39" s="204">
        <f>IF($J39="","",INDEX('_Datos'!$G$7:$G$200,$J39))</f>
      </c>
      <c r="E39" s="203">
        <f>IF($J39="","",INDEX('_Datos'!$N$7:$N$200,$J39))</f>
      </c>
      <c r="F39" s="203">
        <f>IF($J39="","",INDEX('_Datos'!$AD$7:$AD$200,$J39))</f>
      </c>
      <c r="G39" s="205">
        <f>IF($J39="","",INDEX('_Datos'!$AG$7:$AG$200,$J39))</f>
      </c>
      <c r="H39" s="204">
        <f>IF($J39="","",INDEX('_Datos'!$AH$7:$AH$200,$J39))</f>
      </c>
      <c r="J39" s="201">
        <f>IFERROR(MATCH(SMALL('_Datos'!$AI$7:$AI$200,ROW()-13+1),'_Datos'!$AI$7:$AI$200,0),"")</f>
      </c>
    </row>
    <row r="40">
      <c r="B40" s="203">
        <f>IF($J40="","",INDEX('_Datos'!$O$7:$O$200,$J40))</f>
      </c>
      <c r="C40" s="204">
        <f>IF($J40="","",INDEX('_Datos'!$F$7:$F$200,$J40))</f>
      </c>
      <c r="D40" s="204">
        <f>IF($J40="","",INDEX('_Datos'!$G$7:$G$200,$J40))</f>
      </c>
      <c r="E40" s="203">
        <f>IF($J40="","",INDEX('_Datos'!$N$7:$N$200,$J40))</f>
      </c>
      <c r="F40" s="203">
        <f>IF($J40="","",INDEX('_Datos'!$AD$7:$AD$200,$J40))</f>
      </c>
      <c r="G40" s="205">
        <f>IF($J40="","",INDEX('_Datos'!$AG$7:$AG$200,$J40))</f>
      </c>
      <c r="H40" s="204">
        <f>IF($J40="","",INDEX('_Datos'!$AH$7:$AH$200,$J40))</f>
      </c>
      <c r="J40" s="201">
        <f>IFERROR(MATCH(SMALL('_Datos'!$AI$7:$AI$200,ROW()-13+1),'_Datos'!$AI$7:$AI$200,0),"")</f>
      </c>
    </row>
    <row r="41">
      <c r="B41" s="203">
        <f>IF($J41="","",INDEX('_Datos'!$O$7:$O$200,$J41))</f>
      </c>
      <c r="C41" s="204">
        <f>IF($J41="","",INDEX('_Datos'!$F$7:$F$200,$J41))</f>
      </c>
      <c r="D41" s="204">
        <f>IF($J41="","",INDEX('_Datos'!$G$7:$G$200,$J41))</f>
      </c>
      <c r="E41" s="203">
        <f>IF($J41="","",INDEX('_Datos'!$N$7:$N$200,$J41))</f>
      </c>
      <c r="F41" s="203">
        <f>IF($J41="","",INDEX('_Datos'!$AD$7:$AD$200,$J41))</f>
      </c>
      <c r="G41" s="205">
        <f>IF($J41="","",INDEX('_Datos'!$AG$7:$AG$200,$J41))</f>
      </c>
      <c r="H41" s="204">
        <f>IF($J41="","",INDEX('_Datos'!$AH$7:$AH$200,$J41))</f>
      </c>
      <c r="J41" s="201">
        <f>IFERROR(MATCH(SMALL('_Datos'!$AI$7:$AI$200,ROW()-13+1),'_Datos'!$AI$7:$AI$200,0),"")</f>
      </c>
    </row>
    <row r="42">
      <c r="B42" s="203">
        <f>IF($J42="","",INDEX('_Datos'!$O$7:$O$200,$J42))</f>
      </c>
      <c r="C42" s="204">
        <f>IF($J42="","",INDEX('_Datos'!$F$7:$F$200,$J42))</f>
      </c>
      <c r="D42" s="204">
        <f>IF($J42="","",INDEX('_Datos'!$G$7:$G$200,$J42))</f>
      </c>
      <c r="E42" s="203">
        <f>IF($J42="","",INDEX('_Datos'!$N$7:$N$200,$J42))</f>
      </c>
      <c r="F42" s="203">
        <f>IF($J42="","",INDEX('_Datos'!$AD$7:$AD$200,$J42))</f>
      </c>
      <c r="G42" s="205">
        <f>IF($J42="","",INDEX('_Datos'!$AG$7:$AG$200,$J42))</f>
      </c>
      <c r="H42" s="204">
        <f>IF($J42="","",INDEX('_Datos'!$AH$7:$AH$200,$J42))</f>
      </c>
      <c r="J42" s="201">
        <f>IFERROR(MATCH(SMALL('_Datos'!$AI$7:$AI$200,ROW()-13+1),'_Datos'!$AI$7:$AI$200,0),"")</f>
      </c>
    </row>
    <row r="43">
      <c r="B43" s="203">
        <f>IF($J43="","",INDEX('_Datos'!$O$7:$O$200,$J43))</f>
      </c>
      <c r="C43" s="204">
        <f>IF($J43="","",INDEX('_Datos'!$F$7:$F$200,$J43))</f>
      </c>
      <c r="D43" s="204">
        <f>IF($J43="","",INDEX('_Datos'!$G$7:$G$200,$J43))</f>
      </c>
      <c r="E43" s="203">
        <f>IF($J43="","",INDEX('_Datos'!$N$7:$N$200,$J43))</f>
      </c>
      <c r="F43" s="203">
        <f>IF($J43="","",INDEX('_Datos'!$AD$7:$AD$200,$J43))</f>
      </c>
      <c r="G43" s="205">
        <f>IF($J43="","",INDEX('_Datos'!$AG$7:$AG$200,$J43))</f>
      </c>
      <c r="H43" s="204">
        <f>IF($J43="","",INDEX('_Datos'!$AH$7:$AH$200,$J43))</f>
      </c>
      <c r="J43" s="201">
        <f>IFERROR(MATCH(SMALL('_Datos'!$AI$7:$AI$200,ROW()-13+1),'_Datos'!$AI$7:$AI$200,0),"")</f>
      </c>
    </row>
    <row r="44">
      <c r="B44" s="203">
        <f>IF($J44="","",INDEX('_Datos'!$O$7:$O$200,$J44))</f>
      </c>
      <c r="C44" s="204">
        <f>IF($J44="","",INDEX('_Datos'!$F$7:$F$200,$J44))</f>
      </c>
      <c r="D44" s="204">
        <f>IF($J44="","",INDEX('_Datos'!$G$7:$G$200,$J44))</f>
      </c>
      <c r="E44" s="203">
        <f>IF($J44="","",INDEX('_Datos'!$N$7:$N$200,$J44))</f>
      </c>
      <c r="F44" s="203">
        <f>IF($J44="","",INDEX('_Datos'!$AD$7:$AD$200,$J44))</f>
      </c>
      <c r="G44" s="205">
        <f>IF($J44="","",INDEX('_Datos'!$AG$7:$AG$200,$J44))</f>
      </c>
      <c r="H44" s="204">
        <f>IF($J44="","",INDEX('_Datos'!$AH$7:$AH$200,$J44))</f>
      </c>
      <c r="J44" s="201">
        <f>IFERROR(MATCH(SMALL('_Datos'!$AI$7:$AI$200,ROW()-13+1),'_Datos'!$AI$7:$AI$200,0),"")</f>
      </c>
    </row>
    <row r="45">
      <c r="B45" s="203">
        <f>IF($J45="","",INDEX('_Datos'!$O$7:$O$200,$J45))</f>
      </c>
      <c r="C45" s="204">
        <f>IF($J45="","",INDEX('_Datos'!$F$7:$F$200,$J45))</f>
      </c>
      <c r="D45" s="204">
        <f>IF($J45="","",INDEX('_Datos'!$G$7:$G$200,$J45))</f>
      </c>
      <c r="E45" s="203">
        <f>IF($J45="","",INDEX('_Datos'!$N$7:$N$200,$J45))</f>
      </c>
      <c r="F45" s="203">
        <f>IF($J45="","",INDEX('_Datos'!$AD$7:$AD$200,$J45))</f>
      </c>
      <c r="G45" s="205">
        <f>IF($J45="","",INDEX('_Datos'!$AG$7:$AG$200,$J45))</f>
      </c>
      <c r="H45" s="204">
        <f>IF($J45="","",INDEX('_Datos'!$AH$7:$AH$200,$J45))</f>
      </c>
      <c r="J45" s="201">
        <f>IFERROR(MATCH(SMALL('_Datos'!$AI$7:$AI$200,ROW()-13+1),'_Datos'!$AI$7:$AI$200,0),"")</f>
      </c>
    </row>
    <row r="46">
      <c r="B46" s="203">
        <f>IF($J46="","",INDEX('_Datos'!$O$7:$O$200,$J46))</f>
      </c>
      <c r="C46" s="204">
        <f>IF($J46="","",INDEX('_Datos'!$F$7:$F$200,$J46))</f>
      </c>
      <c r="D46" s="204">
        <f>IF($J46="","",INDEX('_Datos'!$G$7:$G$200,$J46))</f>
      </c>
      <c r="E46" s="203">
        <f>IF($J46="","",INDEX('_Datos'!$N$7:$N$200,$J46))</f>
      </c>
      <c r="F46" s="203">
        <f>IF($J46="","",INDEX('_Datos'!$AD$7:$AD$200,$J46))</f>
      </c>
      <c r="G46" s="205">
        <f>IF($J46="","",INDEX('_Datos'!$AG$7:$AG$200,$J46))</f>
      </c>
      <c r="H46" s="204">
        <f>IF($J46="","",INDEX('_Datos'!$AH$7:$AH$200,$J46))</f>
      </c>
      <c r="J46" s="201">
        <f>IFERROR(MATCH(SMALL('_Datos'!$AI$7:$AI$200,ROW()-13+1),'_Datos'!$AI$7:$AI$200,0),"")</f>
      </c>
    </row>
    <row r="47">
      <c r="B47" s="203">
        <f>IF($J47="","",INDEX('_Datos'!$O$7:$O$200,$J47))</f>
      </c>
      <c r="C47" s="204">
        <f>IF($J47="","",INDEX('_Datos'!$F$7:$F$200,$J47))</f>
      </c>
      <c r="D47" s="204">
        <f>IF($J47="","",INDEX('_Datos'!$G$7:$G$200,$J47))</f>
      </c>
      <c r="E47" s="203">
        <f>IF($J47="","",INDEX('_Datos'!$N$7:$N$200,$J47))</f>
      </c>
      <c r="F47" s="203">
        <f>IF($J47="","",INDEX('_Datos'!$AD$7:$AD$200,$J47))</f>
      </c>
      <c r="G47" s="205">
        <f>IF($J47="","",INDEX('_Datos'!$AG$7:$AG$200,$J47))</f>
      </c>
      <c r="H47" s="204">
        <f>IF($J47="","",INDEX('_Datos'!$AH$7:$AH$200,$J47))</f>
      </c>
      <c r="J47" s="201">
        <f>IFERROR(MATCH(SMALL('_Datos'!$AI$7:$AI$200,ROW()-13+1),'_Datos'!$AI$7:$AI$200,0),"")</f>
      </c>
    </row>
    <row r="48">
      <c r="B48" s="203">
        <f>IF($J48="","",INDEX('_Datos'!$O$7:$O$200,$J48))</f>
      </c>
      <c r="C48" s="204">
        <f>IF($J48="","",INDEX('_Datos'!$F$7:$F$200,$J48))</f>
      </c>
      <c r="D48" s="204">
        <f>IF($J48="","",INDEX('_Datos'!$G$7:$G$200,$J48))</f>
      </c>
      <c r="E48" s="203">
        <f>IF($J48="","",INDEX('_Datos'!$N$7:$N$200,$J48))</f>
      </c>
      <c r="F48" s="203">
        <f>IF($J48="","",INDEX('_Datos'!$AD$7:$AD$200,$J48))</f>
      </c>
      <c r="G48" s="205">
        <f>IF($J48="","",INDEX('_Datos'!$AG$7:$AG$200,$J48))</f>
      </c>
      <c r="H48" s="204">
        <f>IF($J48="","",INDEX('_Datos'!$AH$7:$AH$200,$J48))</f>
      </c>
      <c r="J48" s="201">
        <f>IFERROR(MATCH(SMALL('_Datos'!$AI$7:$AI$200,ROW()-13+1),'_Datos'!$AI$7:$AI$200,0),"")</f>
      </c>
    </row>
    <row r="49">
      <c r="B49" s="203">
        <f>IF($J49="","",INDEX('_Datos'!$O$7:$O$200,$J49))</f>
      </c>
      <c r="C49" s="204">
        <f>IF($J49="","",INDEX('_Datos'!$F$7:$F$200,$J49))</f>
      </c>
      <c r="D49" s="204">
        <f>IF($J49="","",INDEX('_Datos'!$G$7:$G$200,$J49))</f>
      </c>
      <c r="E49" s="203">
        <f>IF($J49="","",INDEX('_Datos'!$N$7:$N$200,$J49))</f>
      </c>
      <c r="F49" s="203">
        <f>IF($J49="","",INDEX('_Datos'!$AD$7:$AD$200,$J49))</f>
      </c>
      <c r="G49" s="205">
        <f>IF($J49="","",INDEX('_Datos'!$AG$7:$AG$200,$J49))</f>
      </c>
      <c r="H49" s="204">
        <f>IF($J49="","",INDEX('_Datos'!$AH$7:$AH$200,$J49))</f>
      </c>
      <c r="J49" s="201">
        <f>IFERROR(MATCH(SMALL('_Datos'!$AI$7:$AI$200,ROW()-13+1),'_Datos'!$AI$7:$AI$200,0),"")</f>
      </c>
    </row>
    <row r="50">
      <c r="B50" s="203">
        <f>IF($J50="","",INDEX('_Datos'!$O$7:$O$200,$J50))</f>
      </c>
      <c r="C50" s="204">
        <f>IF($J50="","",INDEX('_Datos'!$F$7:$F$200,$J50))</f>
      </c>
      <c r="D50" s="204">
        <f>IF($J50="","",INDEX('_Datos'!$G$7:$G$200,$J50))</f>
      </c>
      <c r="E50" s="203">
        <f>IF($J50="","",INDEX('_Datos'!$N$7:$N$200,$J50))</f>
      </c>
      <c r="F50" s="203">
        <f>IF($J50="","",INDEX('_Datos'!$AD$7:$AD$200,$J50))</f>
      </c>
      <c r="G50" s="205">
        <f>IF($J50="","",INDEX('_Datos'!$AG$7:$AG$200,$J50))</f>
      </c>
      <c r="H50" s="204">
        <f>IF($J50="","",INDEX('_Datos'!$AH$7:$AH$200,$J50))</f>
      </c>
      <c r="J50" s="201">
        <f>IFERROR(MATCH(SMALL('_Datos'!$AI$7:$AI$200,ROW()-13+1),'_Datos'!$AI$7:$AI$200,0),"")</f>
      </c>
    </row>
    <row r="51">
      <c r="B51" s="203">
        <f>IF($J51="","",INDEX('_Datos'!$O$7:$O$200,$J51))</f>
      </c>
      <c r="C51" s="204">
        <f>IF($J51="","",INDEX('_Datos'!$F$7:$F$200,$J51))</f>
      </c>
      <c r="D51" s="204">
        <f>IF($J51="","",INDEX('_Datos'!$G$7:$G$200,$J51))</f>
      </c>
      <c r="E51" s="203">
        <f>IF($J51="","",INDEX('_Datos'!$N$7:$N$200,$J51))</f>
      </c>
      <c r="F51" s="203">
        <f>IF($J51="","",INDEX('_Datos'!$AD$7:$AD$200,$J51))</f>
      </c>
      <c r="G51" s="205">
        <f>IF($J51="","",INDEX('_Datos'!$AG$7:$AG$200,$J51))</f>
      </c>
      <c r="H51" s="204">
        <f>IF($J51="","",INDEX('_Datos'!$AH$7:$AH$200,$J51))</f>
      </c>
      <c r="J51" s="201">
        <f>IFERROR(MATCH(SMALL('_Datos'!$AI$7:$AI$200,ROW()-13+1),'_Datos'!$AI$7:$AI$200,0),"")</f>
      </c>
    </row>
    <row r="52">
      <c r="B52" s="203">
        <f>IF($J52="","",INDEX('_Datos'!$O$7:$O$200,$J52))</f>
      </c>
      <c r="C52" s="204">
        <f>IF($J52="","",INDEX('_Datos'!$F$7:$F$200,$J52))</f>
      </c>
      <c r="D52" s="204">
        <f>IF($J52="","",INDEX('_Datos'!$G$7:$G$200,$J52))</f>
      </c>
      <c r="E52" s="203">
        <f>IF($J52="","",INDEX('_Datos'!$N$7:$N$200,$J52))</f>
      </c>
      <c r="F52" s="203">
        <f>IF($J52="","",INDEX('_Datos'!$AD$7:$AD$200,$J52))</f>
      </c>
      <c r="G52" s="205">
        <f>IF($J52="","",INDEX('_Datos'!$AG$7:$AG$200,$J52))</f>
      </c>
      <c r="H52" s="204">
        <f>IF($J52="","",INDEX('_Datos'!$AH$7:$AH$200,$J52))</f>
      </c>
      <c r="J52" s="201">
        <f>IFERROR(MATCH(SMALL('_Datos'!$AI$7:$AI$200,ROW()-13+1),'_Datos'!$AI$7:$AI$200,0),"")</f>
      </c>
    </row>
    <row r="53">
      <c r="B53" s="203">
        <f>IF($J53="","",INDEX('_Datos'!$O$7:$O$200,$J53))</f>
      </c>
      <c r="C53" s="204">
        <f>IF($J53="","",INDEX('_Datos'!$F$7:$F$200,$J53))</f>
      </c>
      <c r="D53" s="204">
        <f>IF($J53="","",INDEX('_Datos'!$G$7:$G$200,$J53))</f>
      </c>
      <c r="E53" s="203">
        <f>IF($J53="","",INDEX('_Datos'!$N$7:$N$200,$J53))</f>
      </c>
      <c r="F53" s="203">
        <f>IF($J53="","",INDEX('_Datos'!$AD$7:$AD$200,$J53))</f>
      </c>
      <c r="G53" s="205">
        <f>IF($J53="","",INDEX('_Datos'!$AG$7:$AG$200,$J53))</f>
      </c>
      <c r="H53" s="204">
        <f>IF($J53="","",INDEX('_Datos'!$AH$7:$AH$200,$J53))</f>
      </c>
      <c r="J53" s="201">
        <f>IFERROR(MATCH(SMALL('_Datos'!$AI$7:$AI$200,ROW()-13+1),'_Datos'!$AI$7:$AI$200,0),"")</f>
      </c>
    </row>
    <row r="54">
      <c r="B54" s="203">
        <f>IF($J54="","",INDEX('_Datos'!$O$7:$O$200,$J54))</f>
      </c>
      <c r="C54" s="204">
        <f>IF($J54="","",INDEX('_Datos'!$F$7:$F$200,$J54))</f>
      </c>
      <c r="D54" s="204">
        <f>IF($J54="","",INDEX('_Datos'!$G$7:$G$200,$J54))</f>
      </c>
      <c r="E54" s="203">
        <f>IF($J54="","",INDEX('_Datos'!$N$7:$N$200,$J54))</f>
      </c>
      <c r="F54" s="203">
        <f>IF($J54="","",INDEX('_Datos'!$AD$7:$AD$200,$J54))</f>
      </c>
      <c r="G54" s="205">
        <f>IF($J54="","",INDEX('_Datos'!$AG$7:$AG$200,$J54))</f>
      </c>
      <c r="H54" s="204">
        <f>IF($J54="","",INDEX('_Datos'!$AH$7:$AH$200,$J54))</f>
      </c>
      <c r="J54" s="201">
        <f>IFERROR(MATCH(SMALL('_Datos'!$AI$7:$AI$200,ROW()-13+1),'_Datos'!$AI$7:$AI$200,0),"")</f>
      </c>
    </row>
    <row r="55">
      <c r="B55" s="203">
        <f>IF($J55="","",INDEX('_Datos'!$O$7:$O$200,$J55))</f>
      </c>
      <c r="C55" s="204">
        <f>IF($J55="","",INDEX('_Datos'!$F$7:$F$200,$J55))</f>
      </c>
      <c r="D55" s="204">
        <f>IF($J55="","",INDEX('_Datos'!$G$7:$G$200,$J55))</f>
      </c>
      <c r="E55" s="203">
        <f>IF($J55="","",INDEX('_Datos'!$N$7:$N$200,$J55))</f>
      </c>
      <c r="F55" s="203">
        <f>IF($J55="","",INDEX('_Datos'!$AD$7:$AD$200,$J55))</f>
      </c>
      <c r="G55" s="205">
        <f>IF($J55="","",INDEX('_Datos'!$AG$7:$AG$200,$J55))</f>
      </c>
      <c r="H55" s="204">
        <f>IF($J55="","",INDEX('_Datos'!$AH$7:$AH$200,$J55))</f>
      </c>
      <c r="J55" s="201">
        <f>IFERROR(MATCH(SMALL('_Datos'!$AI$7:$AI$200,ROW()-13+1),'_Datos'!$AI$7:$AI$200,0),"")</f>
      </c>
    </row>
    <row r="56">
      <c r="B56" s="203">
        <f>IF($J56="","",INDEX('_Datos'!$O$7:$O$200,$J56))</f>
      </c>
      <c r="C56" s="204">
        <f>IF($J56="","",INDEX('_Datos'!$F$7:$F$200,$J56))</f>
      </c>
      <c r="D56" s="204">
        <f>IF($J56="","",INDEX('_Datos'!$G$7:$G$200,$J56))</f>
      </c>
      <c r="E56" s="203">
        <f>IF($J56="","",INDEX('_Datos'!$N$7:$N$200,$J56))</f>
      </c>
      <c r="F56" s="203">
        <f>IF($J56="","",INDEX('_Datos'!$AD$7:$AD$200,$J56))</f>
      </c>
      <c r="G56" s="205">
        <f>IF($J56="","",INDEX('_Datos'!$AG$7:$AG$200,$J56))</f>
      </c>
      <c r="H56" s="204">
        <f>IF($J56="","",INDEX('_Datos'!$AH$7:$AH$200,$J56))</f>
      </c>
      <c r="J56" s="201">
        <f>IFERROR(MATCH(SMALL('_Datos'!$AI$7:$AI$200,ROW()-13+1),'_Datos'!$AI$7:$AI$200,0),"")</f>
      </c>
    </row>
    <row r="57">
      <c r="B57" s="203">
        <f>IF($J57="","",INDEX('_Datos'!$O$7:$O$200,$J57))</f>
      </c>
      <c r="C57" s="204">
        <f>IF($J57="","",INDEX('_Datos'!$F$7:$F$200,$J57))</f>
      </c>
      <c r="D57" s="204">
        <f>IF($J57="","",INDEX('_Datos'!$G$7:$G$200,$J57))</f>
      </c>
      <c r="E57" s="203">
        <f>IF($J57="","",INDEX('_Datos'!$N$7:$N$200,$J57))</f>
      </c>
      <c r="F57" s="203">
        <f>IF($J57="","",INDEX('_Datos'!$AD$7:$AD$200,$J57))</f>
      </c>
      <c r="G57" s="205">
        <f>IF($J57="","",INDEX('_Datos'!$AG$7:$AG$200,$J57))</f>
      </c>
      <c r="H57" s="204">
        <f>IF($J57="","",INDEX('_Datos'!$AH$7:$AH$200,$J57))</f>
      </c>
      <c r="J57" s="201">
        <f>IFERROR(MATCH(SMALL('_Datos'!$AI$7:$AI$200,ROW()-13+1),'_Datos'!$AI$7:$AI$200,0),"")</f>
      </c>
    </row>
    <row r="58">
      <c r="B58" s="203">
        <f>IF($J58="","",INDEX('_Datos'!$O$7:$O$200,$J58))</f>
      </c>
      <c r="C58" s="204">
        <f>IF($J58="","",INDEX('_Datos'!$F$7:$F$200,$J58))</f>
      </c>
      <c r="D58" s="204">
        <f>IF($J58="","",INDEX('_Datos'!$G$7:$G$200,$J58))</f>
      </c>
      <c r="E58" s="203">
        <f>IF($J58="","",INDEX('_Datos'!$N$7:$N$200,$J58))</f>
      </c>
      <c r="F58" s="203">
        <f>IF($J58="","",INDEX('_Datos'!$AD$7:$AD$200,$J58))</f>
      </c>
      <c r="G58" s="205">
        <f>IF($J58="","",INDEX('_Datos'!$AG$7:$AG$200,$J58))</f>
      </c>
      <c r="H58" s="204">
        <f>IF($J58="","",INDEX('_Datos'!$AH$7:$AH$200,$J58))</f>
      </c>
      <c r="J58" s="201">
        <f>IFERROR(MATCH(SMALL('_Datos'!$AI$7:$AI$200,ROW()-13+1),'_Datos'!$AI$7:$AI$200,0),"")</f>
      </c>
    </row>
    <row r="59">
      <c r="B59" s="203">
        <f>IF($J59="","",INDEX('_Datos'!$O$7:$O$200,$J59))</f>
      </c>
      <c r="C59" s="204">
        <f>IF($J59="","",INDEX('_Datos'!$F$7:$F$200,$J59))</f>
      </c>
      <c r="D59" s="204">
        <f>IF($J59="","",INDEX('_Datos'!$G$7:$G$200,$J59))</f>
      </c>
      <c r="E59" s="203">
        <f>IF($J59="","",INDEX('_Datos'!$N$7:$N$200,$J59))</f>
      </c>
      <c r="F59" s="203">
        <f>IF($J59="","",INDEX('_Datos'!$AD$7:$AD$200,$J59))</f>
      </c>
      <c r="G59" s="205">
        <f>IF($J59="","",INDEX('_Datos'!$AG$7:$AG$200,$J59))</f>
      </c>
      <c r="H59" s="204">
        <f>IF($J59="","",INDEX('_Datos'!$AH$7:$AH$200,$J59))</f>
      </c>
      <c r="J59" s="201">
        <f>IFERROR(MATCH(SMALL('_Datos'!$AI$7:$AI$200,ROW()-13+1),'_Datos'!$AI$7:$AI$200,0),"")</f>
      </c>
    </row>
    <row r="60">
      <c r="B60" s="203">
        <f>IF($J60="","",INDEX('_Datos'!$O$7:$O$200,$J60))</f>
      </c>
      <c r="C60" s="204">
        <f>IF($J60="","",INDEX('_Datos'!$F$7:$F$200,$J60))</f>
      </c>
      <c r="D60" s="204">
        <f>IF($J60="","",INDEX('_Datos'!$G$7:$G$200,$J60))</f>
      </c>
      <c r="E60" s="203">
        <f>IF($J60="","",INDEX('_Datos'!$N$7:$N$200,$J60))</f>
      </c>
      <c r="F60" s="203">
        <f>IF($J60="","",INDEX('_Datos'!$AD$7:$AD$200,$J60))</f>
      </c>
      <c r="G60" s="205">
        <f>IF($J60="","",INDEX('_Datos'!$AG$7:$AG$200,$J60))</f>
      </c>
      <c r="H60" s="204">
        <f>IF($J60="","",INDEX('_Datos'!$AH$7:$AH$200,$J60))</f>
      </c>
      <c r="J60" s="201">
        <f>IFERROR(MATCH(SMALL('_Datos'!$AI$7:$AI$200,ROW()-13+1),'_Datos'!$AI$7:$AI$200,0),"")</f>
      </c>
    </row>
    <row r="61">
      <c r="B61" s="203">
        <f>IF($J61="","",INDEX('_Datos'!$O$7:$O$200,$J61))</f>
      </c>
      <c r="C61" s="204">
        <f>IF($J61="","",INDEX('_Datos'!$F$7:$F$200,$J61))</f>
      </c>
      <c r="D61" s="204">
        <f>IF($J61="","",INDEX('_Datos'!$G$7:$G$200,$J61))</f>
      </c>
      <c r="E61" s="203">
        <f>IF($J61="","",INDEX('_Datos'!$N$7:$N$200,$J61))</f>
      </c>
      <c r="F61" s="203">
        <f>IF($J61="","",INDEX('_Datos'!$AD$7:$AD$200,$J61))</f>
      </c>
      <c r="G61" s="205">
        <f>IF($J61="","",INDEX('_Datos'!$AG$7:$AG$200,$J61))</f>
      </c>
      <c r="H61" s="204">
        <f>IF($J61="","",INDEX('_Datos'!$AH$7:$AH$200,$J61))</f>
      </c>
      <c r="J61" s="201">
        <f>IFERROR(MATCH(SMALL('_Datos'!$AI$7:$AI$200,ROW()-13+1),'_Datos'!$AI$7:$AI$200,0),"")</f>
      </c>
    </row>
    <row r="62">
      <c r="B62" s="203">
        <f>IF($J62="","",INDEX('_Datos'!$O$7:$O$200,$J62))</f>
      </c>
      <c r="C62" s="204">
        <f>IF($J62="","",INDEX('_Datos'!$F$7:$F$200,$J62))</f>
      </c>
      <c r="D62" s="204">
        <f>IF($J62="","",INDEX('_Datos'!$G$7:$G$200,$J62))</f>
      </c>
      <c r="E62" s="203">
        <f>IF($J62="","",INDEX('_Datos'!$N$7:$N$200,$J62))</f>
      </c>
      <c r="F62" s="203">
        <f>IF($J62="","",INDEX('_Datos'!$AD$7:$AD$200,$J62))</f>
      </c>
      <c r="G62" s="205">
        <f>IF($J62="","",INDEX('_Datos'!$AG$7:$AG$200,$J62))</f>
      </c>
      <c r="H62" s="204">
        <f>IF($J62="","",INDEX('_Datos'!$AH$7:$AH$200,$J62))</f>
      </c>
      <c r="J62" s="201">
        <f>IFERROR(MATCH(SMALL('_Datos'!$AI$7:$AI$200,ROW()-13+1),'_Datos'!$AI$7:$AI$200,0),"")</f>
      </c>
    </row>
    <row r="63">
      <c r="B63" s="203">
        <f>IF($J63="","",INDEX('_Datos'!$O$7:$O$200,$J63))</f>
      </c>
      <c r="C63" s="204">
        <f>IF($J63="","",INDEX('_Datos'!$F$7:$F$200,$J63))</f>
      </c>
      <c r="D63" s="204">
        <f>IF($J63="","",INDEX('_Datos'!$G$7:$G$200,$J63))</f>
      </c>
      <c r="E63" s="203">
        <f>IF($J63="","",INDEX('_Datos'!$N$7:$N$200,$J63))</f>
      </c>
      <c r="F63" s="203">
        <f>IF($J63="","",INDEX('_Datos'!$AD$7:$AD$200,$J63))</f>
      </c>
      <c r="G63" s="205">
        <f>IF($J63="","",INDEX('_Datos'!$AG$7:$AG$200,$J63))</f>
      </c>
      <c r="H63" s="204">
        <f>IF($J63="","",INDEX('_Datos'!$AH$7:$AH$200,$J63))</f>
      </c>
      <c r="J63" s="201">
        <f>IFERROR(MATCH(SMALL('_Datos'!$AI$7:$AI$200,ROW()-13+1),'_Datos'!$AI$7:$AI$200,0),"")</f>
      </c>
    </row>
    <row r="64">
      <c r="B64" s="203">
        <f>IF($J64="","",INDEX('_Datos'!$O$7:$O$200,$J64))</f>
      </c>
      <c r="C64" s="204">
        <f>IF($J64="","",INDEX('_Datos'!$F$7:$F$200,$J64))</f>
      </c>
      <c r="D64" s="204">
        <f>IF($J64="","",INDEX('_Datos'!$G$7:$G$200,$J64))</f>
      </c>
      <c r="E64" s="203">
        <f>IF($J64="","",INDEX('_Datos'!$N$7:$N$200,$J64))</f>
      </c>
      <c r="F64" s="203">
        <f>IF($J64="","",INDEX('_Datos'!$AD$7:$AD$200,$J64))</f>
      </c>
      <c r="G64" s="205">
        <f>IF($J64="","",INDEX('_Datos'!$AG$7:$AG$200,$J64))</f>
      </c>
      <c r="H64" s="204">
        <f>IF($J64="","",INDEX('_Datos'!$AH$7:$AH$200,$J64))</f>
      </c>
      <c r="J64" s="201">
        <f>IFERROR(MATCH(SMALL('_Datos'!$AI$7:$AI$200,ROW()-13+1),'_Datos'!$AI$7:$AI$200,0),"")</f>
      </c>
    </row>
    <row r="65">
      <c r="B65" s="203">
        <f>IF($J65="","",INDEX('_Datos'!$O$7:$O$200,$J65))</f>
      </c>
      <c r="C65" s="204">
        <f>IF($J65="","",INDEX('_Datos'!$F$7:$F$200,$J65))</f>
      </c>
      <c r="D65" s="204">
        <f>IF($J65="","",INDEX('_Datos'!$G$7:$G$200,$J65))</f>
      </c>
      <c r="E65" s="203">
        <f>IF($J65="","",INDEX('_Datos'!$N$7:$N$200,$J65))</f>
      </c>
      <c r="F65" s="203">
        <f>IF($J65="","",INDEX('_Datos'!$AD$7:$AD$200,$J65))</f>
      </c>
      <c r="G65" s="205">
        <f>IF($J65="","",INDEX('_Datos'!$AG$7:$AG$200,$J65))</f>
      </c>
      <c r="H65" s="204">
        <f>IF($J65="","",INDEX('_Datos'!$AH$7:$AH$200,$J65))</f>
      </c>
      <c r="J65" s="201">
        <f>IFERROR(MATCH(SMALL('_Datos'!$AI$7:$AI$200,ROW()-13+1),'_Datos'!$AI$7:$AI$200,0),"")</f>
      </c>
    </row>
    <row r="66">
      <c r="B66" s="203">
        <f>IF($J66="","",INDEX('_Datos'!$O$7:$O$200,$J66))</f>
      </c>
      <c r="C66" s="204">
        <f>IF($J66="","",INDEX('_Datos'!$F$7:$F$200,$J66))</f>
      </c>
      <c r="D66" s="204">
        <f>IF($J66="","",INDEX('_Datos'!$G$7:$G$200,$J66))</f>
      </c>
      <c r="E66" s="203">
        <f>IF($J66="","",INDEX('_Datos'!$N$7:$N$200,$J66))</f>
      </c>
      <c r="F66" s="203">
        <f>IF($J66="","",INDEX('_Datos'!$AD$7:$AD$200,$J66))</f>
      </c>
      <c r="G66" s="205">
        <f>IF($J66="","",INDEX('_Datos'!$AG$7:$AG$200,$J66))</f>
      </c>
      <c r="H66" s="204">
        <f>IF($J66="","",INDEX('_Datos'!$AH$7:$AH$200,$J66))</f>
      </c>
      <c r="J66" s="201">
        <f>IFERROR(MATCH(SMALL('_Datos'!$AI$7:$AI$200,ROW()-13+1),'_Datos'!$AI$7:$AI$200,0),"")</f>
      </c>
    </row>
    <row r="67">
      <c r="B67" s="203">
        <f>IF($J67="","",INDEX('_Datos'!$O$7:$O$200,$J67))</f>
      </c>
      <c r="C67" s="204">
        <f>IF($J67="","",INDEX('_Datos'!$F$7:$F$200,$J67))</f>
      </c>
      <c r="D67" s="204">
        <f>IF($J67="","",INDEX('_Datos'!$G$7:$G$200,$J67))</f>
      </c>
      <c r="E67" s="203">
        <f>IF($J67="","",INDEX('_Datos'!$N$7:$N$200,$J67))</f>
      </c>
      <c r="F67" s="203">
        <f>IF($J67="","",INDEX('_Datos'!$AD$7:$AD$200,$J67))</f>
      </c>
      <c r="G67" s="205">
        <f>IF($J67="","",INDEX('_Datos'!$AG$7:$AG$200,$J67))</f>
      </c>
      <c r="H67" s="204">
        <f>IF($J67="","",INDEX('_Datos'!$AH$7:$AH$200,$J67))</f>
      </c>
      <c r="J67" s="201">
        <f>IFERROR(MATCH(SMALL('_Datos'!$AI$7:$AI$200,ROW()-13+1),'_Datos'!$AI$7:$AI$200,0),"")</f>
      </c>
    </row>
    <row r="68">
      <c r="B68" s="203">
        <f>IF($J68="","",INDEX('_Datos'!$O$7:$O$200,$J68))</f>
      </c>
      <c r="C68" s="204">
        <f>IF($J68="","",INDEX('_Datos'!$F$7:$F$200,$J68))</f>
      </c>
      <c r="D68" s="204">
        <f>IF($J68="","",INDEX('_Datos'!$G$7:$G$200,$J68))</f>
      </c>
      <c r="E68" s="203">
        <f>IF($J68="","",INDEX('_Datos'!$N$7:$N$200,$J68))</f>
      </c>
      <c r="F68" s="203">
        <f>IF($J68="","",INDEX('_Datos'!$AD$7:$AD$200,$J68))</f>
      </c>
      <c r="G68" s="205">
        <f>IF($J68="","",INDEX('_Datos'!$AG$7:$AG$200,$J68))</f>
      </c>
      <c r="H68" s="204">
        <f>IF($J68="","",INDEX('_Datos'!$AH$7:$AH$200,$J68))</f>
      </c>
      <c r="J68" s="201">
        <f>IFERROR(MATCH(SMALL('_Datos'!$AI$7:$AI$200,ROW()-13+1),'_Datos'!$AI$7:$AI$200,0),"")</f>
      </c>
    </row>
    <row r="69">
      <c r="B69" s="203">
        <f>IF($J69="","",INDEX('_Datos'!$O$7:$O$200,$J69))</f>
      </c>
      <c r="C69" s="204">
        <f>IF($J69="","",INDEX('_Datos'!$F$7:$F$200,$J69))</f>
      </c>
      <c r="D69" s="204">
        <f>IF($J69="","",INDEX('_Datos'!$G$7:$G$200,$J69))</f>
      </c>
      <c r="E69" s="203">
        <f>IF($J69="","",INDEX('_Datos'!$N$7:$N$200,$J69))</f>
      </c>
      <c r="F69" s="203">
        <f>IF($J69="","",INDEX('_Datos'!$AD$7:$AD$200,$J69))</f>
      </c>
      <c r="G69" s="205">
        <f>IF($J69="","",INDEX('_Datos'!$AG$7:$AG$200,$J69))</f>
      </c>
      <c r="H69" s="204">
        <f>IF($J69="","",INDEX('_Datos'!$AH$7:$AH$200,$J69))</f>
      </c>
      <c r="J69" s="201">
        <f>IFERROR(MATCH(SMALL('_Datos'!$AI$7:$AI$200,ROW()-13+1),'_Datos'!$AI$7:$AI$200,0),"")</f>
      </c>
    </row>
    <row r="70">
      <c r="B70" s="203">
        <f>IF($J70="","",INDEX('_Datos'!$O$7:$O$200,$J70))</f>
      </c>
      <c r="C70" s="204">
        <f>IF($J70="","",INDEX('_Datos'!$F$7:$F$200,$J70))</f>
      </c>
      <c r="D70" s="204">
        <f>IF($J70="","",INDEX('_Datos'!$G$7:$G$200,$J70))</f>
      </c>
      <c r="E70" s="203">
        <f>IF($J70="","",INDEX('_Datos'!$N$7:$N$200,$J70))</f>
      </c>
      <c r="F70" s="203">
        <f>IF($J70="","",INDEX('_Datos'!$AD$7:$AD$200,$J70))</f>
      </c>
      <c r="G70" s="205">
        <f>IF($J70="","",INDEX('_Datos'!$AG$7:$AG$200,$J70))</f>
      </c>
      <c r="H70" s="204">
        <f>IF($J70="","",INDEX('_Datos'!$AH$7:$AH$200,$J70))</f>
      </c>
      <c r="J70" s="201">
        <f>IFERROR(MATCH(SMALL('_Datos'!$AI$7:$AI$200,ROW()-13+1),'_Datos'!$AI$7:$AI$200,0),"")</f>
      </c>
    </row>
    <row r="71">
      <c r="B71" s="203">
        <f>IF($J71="","",INDEX('_Datos'!$O$7:$O$200,$J71))</f>
      </c>
      <c r="C71" s="204">
        <f>IF($J71="","",INDEX('_Datos'!$F$7:$F$200,$J71))</f>
      </c>
      <c r="D71" s="204">
        <f>IF($J71="","",INDEX('_Datos'!$G$7:$G$200,$J71))</f>
      </c>
      <c r="E71" s="203">
        <f>IF($J71="","",INDEX('_Datos'!$N$7:$N$200,$J71))</f>
      </c>
      <c r="F71" s="203">
        <f>IF($J71="","",INDEX('_Datos'!$AD$7:$AD$200,$J71))</f>
      </c>
      <c r="G71" s="205">
        <f>IF($J71="","",INDEX('_Datos'!$AG$7:$AG$200,$J71))</f>
      </c>
      <c r="H71" s="204">
        <f>IF($J71="","",INDEX('_Datos'!$AH$7:$AH$200,$J71))</f>
      </c>
      <c r="J71" s="201">
        <f>IFERROR(MATCH(SMALL('_Datos'!$AI$7:$AI$200,ROW()-13+1),'_Datos'!$AI$7:$AI$200,0),"")</f>
      </c>
    </row>
    <row r="72">
      <c r="B72" s="203">
        <f>IF($J72="","",INDEX('_Datos'!$O$7:$O$200,$J72))</f>
      </c>
      <c r="C72" s="204">
        <f>IF($J72="","",INDEX('_Datos'!$F$7:$F$200,$J72))</f>
      </c>
      <c r="D72" s="204">
        <f>IF($J72="","",INDEX('_Datos'!$G$7:$G$200,$J72))</f>
      </c>
      <c r="E72" s="203">
        <f>IF($J72="","",INDEX('_Datos'!$N$7:$N$200,$J72))</f>
      </c>
      <c r="F72" s="203">
        <f>IF($J72="","",INDEX('_Datos'!$AD$7:$AD$200,$J72))</f>
      </c>
      <c r="G72" s="205">
        <f>IF($J72="","",INDEX('_Datos'!$AG$7:$AG$200,$J72))</f>
      </c>
      <c r="H72" s="204">
        <f>IF($J72="","",INDEX('_Datos'!$AH$7:$AH$200,$J72))</f>
      </c>
      <c r="J72" s="201">
        <f>IFERROR(MATCH(SMALL('_Datos'!$AI$7:$AI$200,ROW()-13+1),'_Datos'!$AI$7:$AI$200,0),"")</f>
      </c>
    </row>
    <row r="73">
      <c r="B73" s="203">
        <f>IF($J73="","",INDEX('_Datos'!$O$7:$O$200,$J73))</f>
      </c>
      <c r="C73" s="204">
        <f>IF($J73="","",INDEX('_Datos'!$F$7:$F$200,$J73))</f>
      </c>
      <c r="D73" s="204">
        <f>IF($J73="","",INDEX('_Datos'!$G$7:$G$200,$J73))</f>
      </c>
      <c r="E73" s="203">
        <f>IF($J73="","",INDEX('_Datos'!$N$7:$N$200,$J73))</f>
      </c>
      <c r="F73" s="203">
        <f>IF($J73="","",INDEX('_Datos'!$AD$7:$AD$200,$J73))</f>
      </c>
      <c r="G73" s="205">
        <f>IF($J73="","",INDEX('_Datos'!$AG$7:$AG$200,$J73))</f>
      </c>
      <c r="H73" s="204">
        <f>IF($J73="","",INDEX('_Datos'!$AH$7:$AH$200,$J73))</f>
      </c>
      <c r="J73" s="201">
        <f>IFERROR(MATCH(SMALL('_Datos'!$AI$7:$AI$200,ROW()-13+1),'_Datos'!$AI$7:$AI$200,0),"")</f>
      </c>
    </row>
    <row r="74">
      <c r="B74" s="203">
        <f>IF($J74="","",INDEX('_Datos'!$O$7:$O$200,$J74))</f>
      </c>
      <c r="C74" s="204">
        <f>IF($J74="","",INDEX('_Datos'!$F$7:$F$200,$J74))</f>
      </c>
      <c r="D74" s="204">
        <f>IF($J74="","",INDEX('_Datos'!$G$7:$G$200,$J74))</f>
      </c>
      <c r="E74" s="203">
        <f>IF($J74="","",INDEX('_Datos'!$N$7:$N$200,$J74))</f>
      </c>
      <c r="F74" s="203">
        <f>IF($J74="","",INDEX('_Datos'!$AD$7:$AD$200,$J74))</f>
      </c>
      <c r="G74" s="205">
        <f>IF($J74="","",INDEX('_Datos'!$AG$7:$AG$200,$J74))</f>
      </c>
      <c r="H74" s="204">
        <f>IF($J74="","",INDEX('_Datos'!$AH$7:$AH$200,$J74))</f>
      </c>
      <c r="J74" s="201">
        <f>IFERROR(MATCH(SMALL('_Datos'!$AI$7:$AI$200,ROW()-13+1),'_Datos'!$AI$7:$AI$200,0),"")</f>
      </c>
    </row>
    <row r="75">
      <c r="B75" s="203">
        <f>IF($J75="","",INDEX('_Datos'!$O$7:$O$200,$J75))</f>
      </c>
      <c r="C75" s="204">
        <f>IF($J75="","",INDEX('_Datos'!$F$7:$F$200,$J75))</f>
      </c>
      <c r="D75" s="204">
        <f>IF($J75="","",INDEX('_Datos'!$G$7:$G$200,$J75))</f>
      </c>
      <c r="E75" s="203">
        <f>IF($J75="","",INDEX('_Datos'!$N$7:$N$200,$J75))</f>
      </c>
      <c r="F75" s="203">
        <f>IF($J75="","",INDEX('_Datos'!$AD$7:$AD$200,$J75))</f>
      </c>
      <c r="G75" s="205">
        <f>IF($J75="","",INDEX('_Datos'!$AG$7:$AG$200,$J75))</f>
      </c>
      <c r="H75" s="204">
        <f>IF($J75="","",INDEX('_Datos'!$AH$7:$AH$200,$J75))</f>
      </c>
      <c r="J75" s="201">
        <f>IFERROR(MATCH(SMALL('_Datos'!$AI$7:$AI$200,ROW()-13+1),'_Datos'!$AI$7:$AI$200,0),"")</f>
      </c>
    </row>
    <row r="76">
      <c r="B76" s="203">
        <f>IF($J76="","",INDEX('_Datos'!$O$7:$O$200,$J76))</f>
      </c>
      <c r="C76" s="204">
        <f>IF($J76="","",INDEX('_Datos'!$F$7:$F$200,$J76))</f>
      </c>
      <c r="D76" s="204">
        <f>IF($J76="","",INDEX('_Datos'!$G$7:$G$200,$J76))</f>
      </c>
      <c r="E76" s="203">
        <f>IF($J76="","",INDEX('_Datos'!$N$7:$N$200,$J76))</f>
      </c>
      <c r="F76" s="203">
        <f>IF($J76="","",INDEX('_Datos'!$AD$7:$AD$200,$J76))</f>
      </c>
      <c r="G76" s="205">
        <f>IF($J76="","",INDEX('_Datos'!$AG$7:$AG$200,$J76))</f>
      </c>
      <c r="H76" s="204">
        <f>IF($J76="","",INDEX('_Datos'!$AH$7:$AH$200,$J76))</f>
      </c>
      <c r="J76" s="201">
        <f>IFERROR(MATCH(SMALL('_Datos'!$AI$7:$AI$200,ROW()-13+1),'_Datos'!$AI$7:$AI$200,0),"")</f>
      </c>
    </row>
    <row r="77">
      <c r="B77" s="203">
        <f>IF($J77="","",INDEX('_Datos'!$O$7:$O$200,$J77))</f>
      </c>
      <c r="C77" s="204">
        <f>IF($J77="","",INDEX('_Datos'!$F$7:$F$200,$J77))</f>
      </c>
      <c r="D77" s="204">
        <f>IF($J77="","",INDEX('_Datos'!$G$7:$G$200,$J77))</f>
      </c>
      <c r="E77" s="203">
        <f>IF($J77="","",INDEX('_Datos'!$N$7:$N$200,$J77))</f>
      </c>
      <c r="F77" s="203">
        <f>IF($J77="","",INDEX('_Datos'!$AD$7:$AD$200,$J77))</f>
      </c>
      <c r="G77" s="205">
        <f>IF($J77="","",INDEX('_Datos'!$AG$7:$AG$200,$J77))</f>
      </c>
      <c r="H77" s="204">
        <f>IF($J77="","",INDEX('_Datos'!$AH$7:$AH$200,$J77))</f>
      </c>
      <c r="J77" s="201">
        <f>IFERROR(MATCH(SMALL('_Datos'!$AI$7:$AI$200,ROW()-13+1),'_Datos'!$AI$7:$AI$200,0),"")</f>
      </c>
    </row>
    <row r="78">
      <c r="B78" s="203">
        <f>IF($J78="","",INDEX('_Datos'!$O$7:$O$200,$J78))</f>
      </c>
      <c r="C78" s="204">
        <f>IF($J78="","",INDEX('_Datos'!$F$7:$F$200,$J78))</f>
      </c>
      <c r="D78" s="204">
        <f>IF($J78="","",INDEX('_Datos'!$G$7:$G$200,$J78))</f>
      </c>
      <c r="E78" s="203">
        <f>IF($J78="","",INDEX('_Datos'!$N$7:$N$200,$J78))</f>
      </c>
      <c r="F78" s="203">
        <f>IF($J78="","",INDEX('_Datos'!$AD$7:$AD$200,$J78))</f>
      </c>
      <c r="G78" s="205">
        <f>IF($J78="","",INDEX('_Datos'!$AG$7:$AG$200,$J78))</f>
      </c>
      <c r="H78" s="204">
        <f>IF($J78="","",INDEX('_Datos'!$AH$7:$AH$200,$J78))</f>
      </c>
      <c r="J78" s="201">
        <f>IFERROR(MATCH(SMALL('_Datos'!$AI$7:$AI$200,ROW()-13+1),'_Datos'!$AI$7:$AI$200,0),"")</f>
      </c>
    </row>
    <row r="79">
      <c r="B79" s="203">
        <f>IF($J79="","",INDEX('_Datos'!$O$7:$O$200,$J79))</f>
      </c>
      <c r="C79" s="204">
        <f>IF($J79="","",INDEX('_Datos'!$F$7:$F$200,$J79))</f>
      </c>
      <c r="D79" s="204">
        <f>IF($J79="","",INDEX('_Datos'!$G$7:$G$200,$J79))</f>
      </c>
      <c r="E79" s="203">
        <f>IF($J79="","",INDEX('_Datos'!$N$7:$N$200,$J79))</f>
      </c>
      <c r="F79" s="203">
        <f>IF($J79="","",INDEX('_Datos'!$AD$7:$AD$200,$J79))</f>
      </c>
      <c r="G79" s="205">
        <f>IF($J79="","",INDEX('_Datos'!$AG$7:$AG$200,$J79))</f>
      </c>
      <c r="H79" s="204">
        <f>IF($J79="","",INDEX('_Datos'!$AH$7:$AH$200,$J79))</f>
      </c>
      <c r="J79" s="201">
        <f>IFERROR(MATCH(SMALL('_Datos'!$AI$7:$AI$200,ROW()-13+1),'_Datos'!$AI$7:$AI$200,0),"")</f>
      </c>
    </row>
    <row r="80">
      <c r="B80" s="203">
        <f>IF($J80="","",INDEX('_Datos'!$O$7:$O$200,$J80))</f>
      </c>
      <c r="C80" s="204">
        <f>IF($J80="","",INDEX('_Datos'!$F$7:$F$200,$J80))</f>
      </c>
      <c r="D80" s="204">
        <f>IF($J80="","",INDEX('_Datos'!$G$7:$G$200,$J80))</f>
      </c>
      <c r="E80" s="203">
        <f>IF($J80="","",INDEX('_Datos'!$N$7:$N$200,$J80))</f>
      </c>
      <c r="F80" s="203">
        <f>IF($J80="","",INDEX('_Datos'!$AD$7:$AD$200,$J80))</f>
      </c>
      <c r="G80" s="205">
        <f>IF($J80="","",INDEX('_Datos'!$AG$7:$AG$200,$J80))</f>
      </c>
      <c r="H80" s="204">
        <f>IF($J80="","",INDEX('_Datos'!$AH$7:$AH$200,$J80))</f>
      </c>
      <c r="J80" s="201">
        <f>IFERROR(MATCH(SMALL('_Datos'!$AI$7:$AI$200,ROW()-13+1),'_Datos'!$AI$7:$AI$200,0),"")</f>
      </c>
    </row>
    <row r="81">
      <c r="B81" s="203">
        <f>IF($J81="","",INDEX('_Datos'!$O$7:$O$200,$J81))</f>
      </c>
      <c r="C81" s="204">
        <f>IF($J81="","",INDEX('_Datos'!$F$7:$F$200,$J81))</f>
      </c>
      <c r="D81" s="204">
        <f>IF($J81="","",INDEX('_Datos'!$G$7:$G$200,$J81))</f>
      </c>
      <c r="E81" s="203">
        <f>IF($J81="","",INDEX('_Datos'!$N$7:$N$200,$J81))</f>
      </c>
      <c r="F81" s="203">
        <f>IF($J81="","",INDEX('_Datos'!$AD$7:$AD$200,$J81))</f>
      </c>
      <c r="G81" s="205">
        <f>IF($J81="","",INDEX('_Datos'!$AG$7:$AG$200,$J81))</f>
      </c>
      <c r="H81" s="204">
        <f>IF($J81="","",INDEX('_Datos'!$AH$7:$AH$200,$J81))</f>
      </c>
      <c r="J81" s="201">
        <f>IFERROR(MATCH(SMALL('_Datos'!$AI$7:$AI$200,ROW()-13+1),'_Datos'!$AI$7:$AI$200,0),"")</f>
      </c>
    </row>
    <row r="82">
      <c r="B82" s="203">
        <f>IF($J82="","",INDEX('_Datos'!$O$7:$O$200,$J82))</f>
      </c>
      <c r="C82" s="204">
        <f>IF($J82="","",INDEX('_Datos'!$F$7:$F$200,$J82))</f>
      </c>
      <c r="D82" s="204">
        <f>IF($J82="","",INDEX('_Datos'!$G$7:$G$200,$J82))</f>
      </c>
      <c r="E82" s="203">
        <f>IF($J82="","",INDEX('_Datos'!$N$7:$N$200,$J82))</f>
      </c>
      <c r="F82" s="203">
        <f>IF($J82="","",INDEX('_Datos'!$AD$7:$AD$200,$J82))</f>
      </c>
      <c r="G82" s="205">
        <f>IF($J82="","",INDEX('_Datos'!$AG$7:$AG$200,$J82))</f>
      </c>
      <c r="H82" s="204">
        <f>IF($J82="","",INDEX('_Datos'!$AH$7:$AH$200,$J82))</f>
      </c>
      <c r="J82" s="201">
        <f>IFERROR(MATCH(SMALL('_Datos'!$AI$7:$AI$200,ROW()-13+1),'_Datos'!$AI$7:$AI$200,0),"")</f>
      </c>
    </row>
    <row r="83">
      <c r="B83" s="203">
        <f>IF($J83="","",INDEX('_Datos'!$O$7:$O$200,$J83))</f>
      </c>
      <c r="C83" s="204">
        <f>IF($J83="","",INDEX('_Datos'!$F$7:$F$200,$J83))</f>
      </c>
      <c r="D83" s="204">
        <f>IF($J83="","",INDEX('_Datos'!$G$7:$G$200,$J83))</f>
      </c>
      <c r="E83" s="203">
        <f>IF($J83="","",INDEX('_Datos'!$N$7:$N$200,$J83))</f>
      </c>
      <c r="F83" s="203">
        <f>IF($J83="","",INDEX('_Datos'!$AD$7:$AD$200,$J83))</f>
      </c>
      <c r="G83" s="205">
        <f>IF($J83="","",INDEX('_Datos'!$AG$7:$AG$200,$J83))</f>
      </c>
      <c r="H83" s="204">
        <f>IF($J83="","",INDEX('_Datos'!$AH$7:$AH$200,$J83))</f>
      </c>
      <c r="J83" s="201">
        <f>IFERROR(MATCH(SMALL('_Datos'!$AI$7:$AI$200,ROW()-13+1),'_Datos'!$AI$7:$AI$200,0),"")</f>
      </c>
    </row>
    <row r="84">
      <c r="B84" s="203">
        <f>IF($J84="","",INDEX('_Datos'!$O$7:$O$200,$J84))</f>
      </c>
      <c r="C84" s="204">
        <f>IF($J84="","",INDEX('_Datos'!$F$7:$F$200,$J84))</f>
      </c>
      <c r="D84" s="204">
        <f>IF($J84="","",INDEX('_Datos'!$G$7:$G$200,$J84))</f>
      </c>
      <c r="E84" s="203">
        <f>IF($J84="","",INDEX('_Datos'!$N$7:$N$200,$J84))</f>
      </c>
      <c r="F84" s="203">
        <f>IF($J84="","",INDEX('_Datos'!$AD$7:$AD$200,$J84))</f>
      </c>
      <c r="G84" s="205">
        <f>IF($J84="","",INDEX('_Datos'!$AG$7:$AG$200,$J84))</f>
      </c>
      <c r="H84" s="204">
        <f>IF($J84="","",INDEX('_Datos'!$AH$7:$AH$200,$J84))</f>
      </c>
      <c r="J84" s="201">
        <f>IFERROR(MATCH(SMALL('_Datos'!$AI$7:$AI$200,ROW()-13+1),'_Datos'!$AI$7:$AI$200,0),"")</f>
      </c>
    </row>
    <row r="85">
      <c r="B85" s="203">
        <f>IF($J85="","",INDEX('_Datos'!$O$7:$O$200,$J85))</f>
      </c>
      <c r="C85" s="204">
        <f>IF($J85="","",INDEX('_Datos'!$F$7:$F$200,$J85))</f>
      </c>
      <c r="D85" s="204">
        <f>IF($J85="","",INDEX('_Datos'!$G$7:$G$200,$J85))</f>
      </c>
      <c r="E85" s="203">
        <f>IF($J85="","",INDEX('_Datos'!$N$7:$N$200,$J85))</f>
      </c>
      <c r="F85" s="203">
        <f>IF($J85="","",INDEX('_Datos'!$AD$7:$AD$200,$J85))</f>
      </c>
      <c r="G85" s="205">
        <f>IF($J85="","",INDEX('_Datos'!$AG$7:$AG$200,$J85))</f>
      </c>
      <c r="H85" s="204">
        <f>IF($J85="","",INDEX('_Datos'!$AH$7:$AH$200,$J85))</f>
      </c>
      <c r="J85" s="201">
        <f>IFERROR(MATCH(SMALL('_Datos'!$AI$7:$AI$200,ROW()-13+1),'_Datos'!$AI$7:$AI$200,0),"")</f>
      </c>
    </row>
    <row r="86">
      <c r="B86" s="203">
        <f>IF($J86="","",INDEX('_Datos'!$O$7:$O$200,$J86))</f>
      </c>
      <c r="C86" s="204">
        <f>IF($J86="","",INDEX('_Datos'!$F$7:$F$200,$J86))</f>
      </c>
      <c r="D86" s="204">
        <f>IF($J86="","",INDEX('_Datos'!$G$7:$G$200,$J86))</f>
      </c>
      <c r="E86" s="203">
        <f>IF($J86="","",INDEX('_Datos'!$N$7:$N$200,$J86))</f>
      </c>
      <c r="F86" s="203">
        <f>IF($J86="","",INDEX('_Datos'!$AD$7:$AD$200,$J86))</f>
      </c>
      <c r="G86" s="205">
        <f>IF($J86="","",INDEX('_Datos'!$AG$7:$AG$200,$J86))</f>
      </c>
      <c r="H86" s="204">
        <f>IF($J86="","",INDEX('_Datos'!$AH$7:$AH$200,$J86))</f>
      </c>
      <c r="J86" s="201">
        <f>IFERROR(MATCH(SMALL('_Datos'!$AI$7:$AI$200,ROW()-13+1),'_Datos'!$AI$7:$AI$200,0),"")</f>
      </c>
    </row>
    <row r="87">
      <c r="B87" s="203">
        <f>IF($J87="","",INDEX('_Datos'!$O$7:$O$200,$J87))</f>
      </c>
      <c r="C87" s="204">
        <f>IF($J87="","",INDEX('_Datos'!$F$7:$F$200,$J87))</f>
      </c>
      <c r="D87" s="204">
        <f>IF($J87="","",INDEX('_Datos'!$G$7:$G$200,$J87))</f>
      </c>
      <c r="E87" s="203">
        <f>IF($J87="","",INDEX('_Datos'!$N$7:$N$200,$J87))</f>
      </c>
      <c r="F87" s="203">
        <f>IF($J87="","",INDEX('_Datos'!$AD$7:$AD$200,$J87))</f>
      </c>
      <c r="G87" s="205">
        <f>IF($J87="","",INDEX('_Datos'!$AG$7:$AG$200,$J87))</f>
      </c>
      <c r="H87" s="204">
        <f>IF($J87="","",INDEX('_Datos'!$AH$7:$AH$200,$J87))</f>
      </c>
      <c r="J87" s="201">
        <f>IFERROR(MATCH(SMALL('_Datos'!$AI$7:$AI$200,ROW()-13+1),'_Datos'!$AI$7:$AI$200,0),"")</f>
      </c>
    </row>
    <row r="88">
      <c r="B88" s="203">
        <f>IF($J88="","",INDEX('_Datos'!$O$7:$O$200,$J88))</f>
      </c>
      <c r="C88" s="204">
        <f>IF($J88="","",INDEX('_Datos'!$F$7:$F$200,$J88))</f>
      </c>
      <c r="D88" s="204">
        <f>IF($J88="","",INDEX('_Datos'!$G$7:$G$200,$J88))</f>
      </c>
      <c r="E88" s="203">
        <f>IF($J88="","",INDEX('_Datos'!$N$7:$N$200,$J88))</f>
      </c>
      <c r="F88" s="203">
        <f>IF($J88="","",INDEX('_Datos'!$AD$7:$AD$200,$J88))</f>
      </c>
      <c r="G88" s="205">
        <f>IF($J88="","",INDEX('_Datos'!$AG$7:$AG$200,$J88))</f>
      </c>
      <c r="H88" s="204">
        <f>IF($J88="","",INDEX('_Datos'!$AH$7:$AH$200,$J88))</f>
      </c>
      <c r="J88" s="201">
        <f>IFERROR(MATCH(SMALL('_Datos'!$AI$7:$AI$200,ROW()-13+1),'_Datos'!$AI$7:$AI$200,0),"")</f>
      </c>
    </row>
    <row r="89">
      <c r="B89" s="203">
        <f>IF($J89="","",INDEX('_Datos'!$O$7:$O$200,$J89))</f>
      </c>
      <c r="C89" s="204">
        <f>IF($J89="","",INDEX('_Datos'!$F$7:$F$200,$J89))</f>
      </c>
      <c r="D89" s="204">
        <f>IF($J89="","",INDEX('_Datos'!$G$7:$G$200,$J89))</f>
      </c>
      <c r="E89" s="203">
        <f>IF($J89="","",INDEX('_Datos'!$N$7:$N$200,$J89))</f>
      </c>
      <c r="F89" s="203">
        <f>IF($J89="","",INDEX('_Datos'!$AD$7:$AD$200,$J89))</f>
      </c>
      <c r="G89" s="205">
        <f>IF($J89="","",INDEX('_Datos'!$AG$7:$AG$200,$J89))</f>
      </c>
      <c r="H89" s="204">
        <f>IF($J89="","",INDEX('_Datos'!$AH$7:$AH$200,$J89))</f>
      </c>
      <c r="J89" s="201">
        <f>IFERROR(MATCH(SMALL('_Datos'!$AI$7:$AI$200,ROW()-13+1),'_Datos'!$AI$7:$AI$200,0),"")</f>
      </c>
    </row>
    <row r="90">
      <c r="B90" s="203">
        <f>IF($J90="","",INDEX('_Datos'!$O$7:$O$200,$J90))</f>
      </c>
      <c r="C90" s="204">
        <f>IF($J90="","",INDEX('_Datos'!$F$7:$F$200,$J90))</f>
      </c>
      <c r="D90" s="204">
        <f>IF($J90="","",INDEX('_Datos'!$G$7:$G$200,$J90))</f>
      </c>
      <c r="E90" s="203">
        <f>IF($J90="","",INDEX('_Datos'!$N$7:$N$200,$J90))</f>
      </c>
      <c r="F90" s="203">
        <f>IF($J90="","",INDEX('_Datos'!$AD$7:$AD$200,$J90))</f>
      </c>
      <c r="G90" s="205">
        <f>IF($J90="","",INDEX('_Datos'!$AG$7:$AG$200,$J90))</f>
      </c>
      <c r="H90" s="204">
        <f>IF($J90="","",INDEX('_Datos'!$AH$7:$AH$200,$J90))</f>
      </c>
      <c r="J90" s="201">
        <f>IFERROR(MATCH(SMALL('_Datos'!$AI$7:$AI$200,ROW()-13+1),'_Datos'!$AI$7:$AI$200,0),"")</f>
      </c>
    </row>
    <row r="91">
      <c r="B91" s="203">
        <f>IF($J91="","",INDEX('_Datos'!$O$7:$O$200,$J91))</f>
      </c>
      <c r="C91" s="204">
        <f>IF($J91="","",INDEX('_Datos'!$F$7:$F$200,$J91))</f>
      </c>
      <c r="D91" s="204">
        <f>IF($J91="","",INDEX('_Datos'!$G$7:$G$200,$J91))</f>
      </c>
      <c r="E91" s="203">
        <f>IF($J91="","",INDEX('_Datos'!$N$7:$N$200,$J91))</f>
      </c>
      <c r="F91" s="203">
        <f>IF($J91="","",INDEX('_Datos'!$AD$7:$AD$200,$J91))</f>
      </c>
      <c r="G91" s="205">
        <f>IF($J91="","",INDEX('_Datos'!$AG$7:$AG$200,$J91))</f>
      </c>
      <c r="H91" s="204">
        <f>IF($J91="","",INDEX('_Datos'!$AH$7:$AH$200,$J91))</f>
      </c>
      <c r="J91" s="201">
        <f>IFERROR(MATCH(SMALL('_Datos'!$AI$7:$AI$200,ROW()-13+1),'_Datos'!$AI$7:$AI$200,0),"")</f>
      </c>
    </row>
    <row r="92">
      <c r="B92" s="203">
        <f>IF($J92="","",INDEX('_Datos'!$O$7:$O$200,$J92))</f>
      </c>
      <c r="C92" s="204">
        <f>IF($J92="","",INDEX('_Datos'!$F$7:$F$200,$J92))</f>
      </c>
      <c r="D92" s="204">
        <f>IF($J92="","",INDEX('_Datos'!$G$7:$G$200,$J92))</f>
      </c>
      <c r="E92" s="203">
        <f>IF($J92="","",INDEX('_Datos'!$N$7:$N$200,$J92))</f>
      </c>
      <c r="F92" s="203">
        <f>IF($J92="","",INDEX('_Datos'!$AD$7:$AD$200,$J92))</f>
      </c>
      <c r="G92" s="205">
        <f>IF($J92="","",INDEX('_Datos'!$AG$7:$AG$200,$J92))</f>
      </c>
      <c r="H92" s="204">
        <f>IF($J92="","",INDEX('_Datos'!$AH$7:$AH$200,$J92))</f>
      </c>
      <c r="J92" s="201">
        <f>IFERROR(MATCH(SMALL('_Datos'!$AI$7:$AI$200,ROW()-13+1),'_Datos'!$AI$7:$AI$200,0),"")</f>
      </c>
    </row>
  </sheetData>
  <mergeCells count="5">
    <mergeCell ref="B1:H1"/>
    <mergeCell ref="B2:H2"/>
    <mergeCell ref="B4:H4"/>
    <mergeCell ref="B9:H9"/>
    <mergeCell ref="B11:H11"/>
  </mergeCells>
  <conditionalFormatting sqref="B13:H92">
    <cfRule type="expression" dxfId="21" priority="10">
      <formula>$C13&lt;&gt;""</formula>
    </cfRule>
  </conditionalFormatting>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